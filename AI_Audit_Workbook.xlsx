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6709b1b4ecf37ccd/Desktop/ai audit certification playbook/"/>
    </mc:Choice>
  </mc:AlternateContent>
  <xr:revisionPtr revIDLastSave="804" documentId="8_{A75802E1-0DB3-4B76-9653-D5AB80E1B089}" xr6:coauthVersionLast="47" xr6:coauthVersionMax="47" xr10:uidLastSave="{8917461C-BEFD-40B4-86EC-F63A56BD3FE2}"/>
  <bookViews>
    <workbookView xWindow="-108" yWindow="-108" windowWidth="23256" windowHeight="12456" xr2:uid="{94D5E650-64BE-452C-991E-3C27AAA00147}"/>
  </bookViews>
  <sheets>
    <sheet name="Instructions" sheetId="8" r:id="rId1"/>
    <sheet name="AI Inventory" sheetId="2" r:id="rId2"/>
    <sheet name="Control Testing" sheetId="3" r:id="rId3"/>
    <sheet name="Maturity Scoring" sheetId="4" r:id="rId4"/>
    <sheet name="Findings Register" sheetId="5" r:id="rId5"/>
    <sheet name="30-60-90 Plan" sheetId="6" r:id="rId6"/>
    <sheet name="Certification Readiness" sheetId="7" r:id="rId7"/>
    <sheet name="Summary Dashboard"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9" l="1"/>
  <c r="B12" i="9"/>
  <c r="B8" i="9"/>
  <c r="B15" i="9" s="1"/>
  <c r="E7" i="4"/>
  <c r="E6" i="4"/>
  <c r="E4" i="4"/>
  <c r="E3" i="4"/>
  <c r="E5" i="4"/>
  <c r="B11" i="9"/>
  <c r="B17" i="9" s="1"/>
  <c r="B10" i="9"/>
  <c r="B9" i="9"/>
  <c r="B4" i="9"/>
  <c r="B7" i="9"/>
  <c r="E6" i="9" s="1"/>
  <c r="B6" i="9"/>
  <c r="E5" i="9" s="1"/>
  <c r="B5" i="9"/>
  <c r="B16" i="9" s="1"/>
  <c r="E8" i="4"/>
  <c r="D8" i="4"/>
  <c r="C8" i="4"/>
  <c r="B8" i="4"/>
  <c r="D7" i="4"/>
  <c r="D6" i="4"/>
  <c r="D5" i="4"/>
  <c r="D4" i="4"/>
  <c r="D3" i="4"/>
  <c r="D2" i="4"/>
  <c r="E2" i="4" s="1"/>
</calcChain>
</file>

<file path=xl/sharedStrings.xml><?xml version="1.0" encoding="utf-8"?>
<sst xmlns="http://schemas.openxmlformats.org/spreadsheetml/2006/main" count="367" uniqueCount="250">
  <si>
    <t>AI Audit Workbook</t>
  </si>
  <si>
    <t>Purpose</t>
  </si>
  <si>
    <t>1. Start by listing all known AI systems in the AI Inventory tab. 2. Use Control Testing to document control design and operating effectiveness. 3. Score each audit domain in Maturity Scoring. 4. Record issues in Findings Register. 5. Track remediation in the 30-60-90 Plan. 6. Summarize readiness gaps in Certification Readiness.</t>
  </si>
  <si>
    <t>Operational workbook for tracking AI inventory, control testing, maturity scoring, findings, remediation planning, and certification readiness.</t>
  </si>
  <si>
    <t>Suggested Workflow</t>
  </si>
  <si>
    <t>Use a 1-5 maturity scale unless otherwise defined. Score based on evidence, consistency, ownership, and monitoring.</t>
  </si>
  <si>
    <t>Version</t>
  </si>
  <si>
    <t>Owner</t>
  </si>
  <si>
    <t>Rubin Fletcher</t>
  </si>
  <si>
    <t>Project</t>
  </si>
  <si>
    <t>AI Audit Checklist &amp; Certification Playbook</t>
  </si>
  <si>
    <t>System Name</t>
  </si>
  <si>
    <t>Business Unit</t>
  </si>
  <si>
    <t>AI Type</t>
  </si>
  <si>
    <t>Risk Level</t>
  </si>
  <si>
    <t>Data Type</t>
  </si>
  <si>
    <t>Status</t>
  </si>
  <si>
    <t>HR Systems Manager</t>
  </si>
  <si>
    <t>Generative AI</t>
  </si>
  <si>
    <t>Draft HR guidance and answer internal policy questions</t>
  </si>
  <si>
    <t>High</t>
  </si>
  <si>
    <t>Employee Data</t>
  </si>
  <si>
    <t>Yes</t>
  </si>
  <si>
    <t>Microsoft Azure OpenAI</t>
  </si>
  <si>
    <t>Customer Support Copilot</t>
  </si>
  <si>
    <t>Support Operations Lead</t>
  </si>
  <si>
    <t>Medium</t>
  </si>
  <si>
    <t>Talent Acquisition</t>
  </si>
  <si>
    <t>Recruiting Manager</t>
  </si>
  <si>
    <t>Predictive AI</t>
  </si>
  <si>
    <t>Security Operations</t>
  </si>
  <si>
    <t>SOC Manager</t>
  </si>
  <si>
    <t>Marketing Content Generator</t>
  </si>
  <si>
    <t>Marketing Director</t>
  </si>
  <si>
    <t>Low</t>
  </si>
  <si>
    <t>No</t>
  </si>
  <si>
    <t>Control Domain</t>
  </si>
  <si>
    <t>Control Objective</t>
  </si>
  <si>
    <t>Control Description</t>
  </si>
  <si>
    <t>Test Method</t>
  </si>
  <si>
    <t>Evidence Reviewed</t>
  </si>
  <si>
    <t>Design Effectiveness</t>
  </si>
  <si>
    <t>Operating Effectiveness</t>
  </si>
  <si>
    <t>Result</t>
  </si>
  <si>
    <t>Remediation Needed</t>
  </si>
  <si>
    <t>GOV-01</t>
  </si>
  <si>
    <t>Governance</t>
  </si>
  <si>
    <t>AI Program Lead</t>
  </si>
  <si>
    <t>Effective</t>
  </si>
  <si>
    <t>Pass</t>
  </si>
  <si>
    <t>RISK-01</t>
  </si>
  <si>
    <t>DATA-01</t>
  </si>
  <si>
    <t>SEC-01</t>
  </si>
  <si>
    <t>MON-01</t>
  </si>
  <si>
    <t>Risk Management</t>
  </si>
  <si>
    <t>Operations Lead</t>
  </si>
  <si>
    <t>Partial Pass</t>
  </si>
  <si>
    <t>Fail</t>
  </si>
  <si>
    <t>Needs Improvement</t>
  </si>
  <si>
    <t>Risk Manager</t>
  </si>
  <si>
    <t>Data Owner</t>
  </si>
  <si>
    <t>Security Lead</t>
  </si>
  <si>
    <t>Finding ID</t>
  </si>
  <si>
    <t>Audit Area</t>
  </si>
  <si>
    <t>Issue Summary</t>
  </si>
  <si>
    <t>Impact</t>
  </si>
  <si>
    <t>Recommendation</t>
  </si>
  <si>
    <t>Target Date</t>
  </si>
  <si>
    <t>Evidence Reference</t>
  </si>
  <si>
    <t>F-001</t>
  </si>
  <si>
    <t>Data Governance</t>
  </si>
  <si>
    <t>Open</t>
  </si>
  <si>
    <t>F-002</t>
  </si>
  <si>
    <t>F-003</t>
  </si>
  <si>
    <t>Monitoring</t>
  </si>
  <si>
    <t>In Progress</t>
  </si>
  <si>
    <t>F-004</t>
  </si>
  <si>
    <t>F-005</t>
  </si>
  <si>
    <t>Security</t>
  </si>
  <si>
    <t>Domain</t>
  </si>
  <si>
    <t>Score</t>
  </si>
  <si>
    <t>Max Score</t>
  </si>
  <si>
    <t>Maturity Level</t>
  </si>
  <si>
    <t>Notes</t>
  </si>
  <si>
    <t>Percentage</t>
  </si>
  <si>
    <t>Requirement Area</t>
  </si>
  <si>
    <t>Evidence Available</t>
  </si>
  <si>
    <t>Gaps Identified</t>
  </si>
  <si>
    <t>Target Completion Date</t>
  </si>
  <si>
    <t>Governance Structure</t>
  </si>
  <si>
    <t>Risk Assessment Process</t>
  </si>
  <si>
    <t>Data Governance Controls</t>
  </si>
  <si>
    <t>Not Ready</t>
  </si>
  <si>
    <t>Security Controls</t>
  </si>
  <si>
    <t>Ready</t>
  </si>
  <si>
    <t>Monitoring and Review</t>
  </si>
  <si>
    <t>Partial</t>
  </si>
  <si>
    <t>Timeframe</t>
  </si>
  <si>
    <t>Action Item</t>
  </si>
  <si>
    <t>Objective</t>
  </si>
  <si>
    <t>Priority</t>
  </si>
  <si>
    <t>30 Days</t>
  </si>
  <si>
    <t>60 Days</t>
  </si>
  <si>
    <t>90 Days</t>
  </si>
  <si>
    <t>Create formal AI monitoring procedure</t>
  </si>
  <si>
    <t xml:space="preserve">Status Definitions </t>
  </si>
  <si>
    <t>Instructions</t>
  </si>
  <si>
    <t>Menu</t>
  </si>
  <si>
    <t>Overall Program Maturity</t>
  </si>
  <si>
    <t>AI Audit Certification Playbook Dashboard</t>
  </si>
  <si>
    <t>Total AI Systems</t>
  </si>
  <si>
    <t>Open Findings</t>
  </si>
  <si>
    <t>In Progress Findings</t>
  </si>
  <si>
    <t>Closed Findings</t>
  </si>
  <si>
    <t>Certification Ready Areas</t>
  </si>
  <si>
    <t>Certification Areas In Progress</t>
  </si>
  <si>
    <t>Certification Areas Not Ready</t>
  </si>
  <si>
    <t>Metric</t>
  </si>
  <si>
    <t>Dashboard Interpretation</t>
  </si>
  <si>
    <t>Program Maturity Status</t>
  </si>
  <si>
    <t>Findings Status</t>
  </si>
  <si>
    <t>Certification Readiness Status</t>
  </si>
  <si>
    <t>Finding Status</t>
  </si>
  <si>
    <t>Closed</t>
  </si>
  <si>
    <t>Value</t>
  </si>
  <si>
    <t>Category</t>
  </si>
  <si>
    <t>Table Summary</t>
  </si>
  <si>
    <t>Scoring Guidance</t>
  </si>
  <si>
    <t xml:space="preserve">Maturity Guidance </t>
  </si>
  <si>
    <t>Managed = strong, consistent, and well-documented
Defined = mostly established with some remaining gaps
Developing = foundational elements exist but need formalization
Initial = early stage with significant gaps</t>
  </si>
  <si>
    <t xml:space="preserve">How to Use </t>
  </si>
  <si>
    <t>Inventory -&gt; Control Testing -&gt; Maturity Scoring -&gt; Findings Register -&gt; 30-60-90 Plan -&gt; Certification Readiness-&gt; Summary Dashboard</t>
  </si>
  <si>
    <t>Open= Not started , In Progress=Currently being worked, Completed=finished, Deferred=intentionally postponed, not cancelled, and should be revisited later. It is still relevant, but work will occur later due to dependencies, resourcing, timing, or leadership decision. Ready / Not Ready / Partial</t>
  </si>
  <si>
    <t>Last Review Date</t>
  </si>
  <si>
    <t>Data Sensitivity</t>
  </si>
  <si>
    <t>Moderate</t>
  </si>
  <si>
    <t>Active</t>
  </si>
  <si>
    <t>Under Review</t>
  </si>
  <si>
    <t>Human Oversight Required</t>
  </si>
  <si>
    <t>Vendor / Platform</t>
  </si>
  <si>
    <t>Internal HR Assistant</t>
  </si>
  <si>
    <t>Human Resources</t>
  </si>
  <si>
    <t>Responses should be reviewed before employee guidance is issued.</t>
  </si>
  <si>
    <t>Customer Service</t>
  </si>
  <si>
    <t>Assist agents with response drafting and customer support workflows</t>
  </si>
  <si>
    <t>Customer Account Data</t>
  </si>
  <si>
    <t>Salesforce + LLM Integration</t>
  </si>
  <si>
    <t>Human review is required before final customer communication.</t>
  </si>
  <si>
    <t>Resume Screening Model</t>
  </si>
  <si>
    <t>Rank applicants for recruiter review and prioritization</t>
  </si>
  <si>
    <t>Applicant Data</t>
  </si>
  <si>
    <t>Third-Party HR Vendor</t>
  </si>
  <si>
    <t>Output should support, not replace, recruiter hiring decisions.</t>
  </si>
  <si>
    <t>Security Alert Triage Assistant</t>
  </si>
  <si>
    <t>Summarize and prioritize security alerts for analyst review</t>
  </si>
  <si>
    <t>Security Log Data</t>
  </si>
  <si>
    <t>Internal App + Model API</t>
  </si>
  <si>
    <t>Analysts should validate prioritization before response action.</t>
  </si>
  <si>
    <t>Marketing</t>
  </si>
  <si>
    <t>Draft campaign content and internal marketing material</t>
  </si>
  <si>
    <t>Public / Internal Business Data</t>
  </si>
  <si>
    <t>Third-Party SaaS AI Tool</t>
  </si>
  <si>
    <t>Use should be limited to approved business content and brand review.</t>
  </si>
  <si>
    <t>Control ID</t>
  </si>
  <si>
    <t>Ensure each AI system has clear accountability</t>
  </si>
  <si>
    <t>Each AI system should have a defined business or technical owner with documented oversight responsibility</t>
  </si>
  <si>
    <t>Review AI Inventory and ownership assignments</t>
  </si>
  <si>
    <t>AI Inventory, governance records</t>
  </si>
  <si>
    <t>Ownership is documented for systems currently in scope</t>
  </si>
  <si>
    <t>Ensure AI systems are risk rated consistently</t>
  </si>
  <si>
    <t>Each AI use case should be assigned a risk level using defined and repeatable criteria</t>
  </si>
  <si>
    <t>Review risk scoring entries for consistency</t>
  </si>
  <si>
    <t>AI Inventory, risk methodology notes</t>
  </si>
  <si>
    <t>Risk levels exist, but criteria should be standardized further</t>
  </si>
  <si>
    <t>Ensure data used by AI is identified and classified</t>
  </si>
  <si>
    <t>Data sources, sensitivity, and approved use should be documented for each AI system</t>
  </si>
  <si>
    <t>Review inventory fields and supporting documentation</t>
  </si>
  <si>
    <t>AI Inventory, data classification references</t>
  </si>
  <si>
    <t>Data sensitivity is tracked, but source approval and lineage may need stronger support</t>
  </si>
  <si>
    <t>HIL-01</t>
  </si>
  <si>
    <t>Human Oversight</t>
  </si>
  <si>
    <t>Ensure human review is defined where needed</t>
  </si>
  <si>
    <t>Higher-risk AI systems should require documented human review before final action</t>
  </si>
  <si>
    <t>Compliance Lead</t>
  </si>
  <si>
    <t>Review oversight requirements for high-risk systems</t>
  </si>
  <si>
    <t>AI Inventory, process notes</t>
  </si>
  <si>
    <t>Human oversight exists in practice, but documentation and consistency need improvement</t>
  </si>
  <si>
    <t>Ensure access to AI systems is controlled</t>
  </si>
  <si>
    <t>Access to AI systems and connected data should be restricted to authorized users</t>
  </si>
  <si>
    <t>Review access control approach and approval process</t>
  </si>
  <si>
    <t>Access review records, system access notes</t>
  </si>
  <si>
    <t>Access control expectations appear defined for active systems</t>
  </si>
  <si>
    <t>Ensure AI systems are reviewed after deployment</t>
  </si>
  <si>
    <t>AI systems should be periodically reviewed for misuse, drift, errors, or business impact</t>
  </si>
  <si>
    <t>Review monitoring and review cadence documentation</t>
  </si>
  <si>
    <t>Review logs, monitoring notes, dashboards</t>
  </si>
  <si>
    <t>Monitoring activity may exist, but it is not yet formalized across the program</t>
  </si>
  <si>
    <t>AI risk ratings are documented, but scoring criteria are not fully standardized across systems</t>
  </si>
  <si>
    <t>Inconsistent ratings may lead to uneven review and approval decisions</t>
  </si>
  <si>
    <t>Define and document standard AI risk rating criteria, then revalidate current entries</t>
  </si>
  <si>
    <t>Data sensitivity is tracked, but source approval and lineage are not fully documented</t>
  </si>
  <si>
    <t>Weak data traceability may increase compliance and governance risk</t>
  </si>
  <si>
    <t>Document approved data sources, lineage, and usage constraints for each in-scope AI system</t>
  </si>
  <si>
    <t>Human review requirements for higher-risk AI systems are not consistently documented</t>
  </si>
  <si>
    <t>Decisions may rely too heavily on AI outputs without documented oversight</t>
  </si>
  <si>
    <t>Define formal human oversight requirements and approval points for high-risk systems</t>
  </si>
  <si>
    <t>AI monitoring and periodic review activities are not formalized across the program</t>
  </si>
  <si>
    <t>Drift, misuse, or performance issues may go undetected or be inconsistently handled</t>
  </si>
  <si>
    <t>Create a documented monitoring procedure with review cadence and ownership</t>
  </si>
  <si>
    <t>Access expectations appear defined, but recurring evidence of periodic access review is limited</t>
  </si>
  <si>
    <t>Excess or outdated access may remain in place longer than intended</t>
  </si>
  <si>
    <t>Establish a recurring access review log with signoff and retention requirements</t>
  </si>
  <si>
    <t>Ownership and accountability are defined for in-scope systems, but oversight documentation can still improve.</t>
  </si>
  <si>
    <t>Risk levels are assigned, but criteria need stronger standardization.</t>
  </si>
  <si>
    <t>Data sensitivity is tracked, but lineage, source approval, and usage constraints need stronger documentation.</t>
  </si>
  <si>
    <t>Human review exists for some use cases, but requirements are not consistently formalized for higher-risk systems.</t>
  </si>
  <si>
    <t>Access expectations appear strong, though recurring review evidence should improve.</t>
  </si>
  <si>
    <t>Monitoring is recognized as important, but review cadence and formal procedures remain limited.</t>
  </si>
  <si>
    <t>Overall program has a solid foundation, but human oversight and monitoring need stronger formalization before higher readiness can be claimed.</t>
  </si>
  <si>
    <t>Minor documentation improvements remain</t>
  </si>
  <si>
    <t>Ownership and accountability are largely defined for in-scope systems.</t>
  </si>
  <si>
    <t>Risk scoring criteria need stronger standardization</t>
  </si>
  <si>
    <t>Risk levels exist, but methodology needs to be more repeatable.</t>
  </si>
  <si>
    <t>Data lineage, source approval, and usage constraints need stronger documentation</t>
  </si>
  <si>
    <t>Data classification is present, but documentation depth needs improvement.</t>
  </si>
  <si>
    <t>Human Oversight Controls</t>
  </si>
  <si>
    <t>Formal review requirements are not consistently documented for higher-risk systems</t>
  </si>
  <si>
    <t>Human oversight exists in practice, but policy and workflow requirements need formalization.</t>
  </si>
  <si>
    <t>Recurring access review evidence should improve</t>
  </si>
  <si>
    <t>Access expectations appear strong, though evidence collection should mature.</t>
  </si>
  <si>
    <t>Monitoring cadence and review procedures are not formalized across the program</t>
  </si>
  <si>
    <t>Monitoring activities exist, but they are not yet consistent or well documented.</t>
  </si>
  <si>
    <t>Standardize AI risk scoring criteria</t>
  </si>
  <si>
    <t>Make AI risk ratings more consistent and repeatable across systems</t>
  </si>
  <si>
    <t>Supports closure of the risk management finding and improves certification readiness.</t>
  </si>
  <si>
    <t>Define formal human oversight requirements</t>
  </si>
  <si>
    <t>Document when human review is required for higher-risk AI systems</t>
  </si>
  <si>
    <t>Highest-priority gap because oversight is not yet consistently formalized.</t>
  </si>
  <si>
    <t>Document approved data sources and lineage</t>
  </si>
  <si>
    <t>Improve traceability for data used by AI systems</t>
  </si>
  <si>
    <t>Needed to strengthen data governance and evidence quality.</t>
  </si>
  <si>
    <t>Establish recurring access review evidence process</t>
  </si>
  <si>
    <t>Improve proof of periodic access review and signoff</t>
  </si>
  <si>
    <t>Security controls are strong, but evidence retention should improve.</t>
  </si>
  <si>
    <t>Define review cadence for drift, misuse, output quality, and performance</t>
  </si>
  <si>
    <t>Supports monitoring maturity and certification readiness.</t>
  </si>
  <si>
    <t>Reassess certification readiness and update dashboard</t>
  </si>
  <si>
    <t>Confirm remediation progress and refresh readiness status</t>
  </si>
  <si>
    <t>Final review step after major remediation items are updated.</t>
  </si>
  <si>
    <t>Open Action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</si>
</sst>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b/>
      <sz val="12"/>
      <color theme="1"/>
      <name val="Aptos Narrow"/>
      <family val="2"/>
      <scheme val="minor"/>
    </font>
    <font>
      <b/>
      <sz val="11"/>
      <color theme="0"/>
      <name val="Aptos Narrow"/>
      <family val="2"/>
      <scheme val="minor"/>
    </font>
    <font>
      <sz val="11"/>
      <color theme="0"/>
      <name val="Aptos Narrow"/>
      <family val="2"/>
      <scheme val="minor"/>
    </font>
  </fonts>
  <fills count="5">
    <fill>
      <patternFill patternType="none"/>
    </fill>
    <fill>
      <patternFill patternType="gray125"/>
    </fill>
    <fill>
      <patternFill patternType="solid">
        <fgColor theme="7"/>
        <bgColor theme="7"/>
      </patternFill>
    </fill>
    <fill>
      <patternFill patternType="solid">
        <fgColor theme="7" tint="-0.249977111117893"/>
        <bgColor theme="7" tint="-0.249977111117893"/>
      </patternFill>
    </fill>
    <fill>
      <patternFill patternType="solid">
        <fgColor theme="1"/>
        <bgColor theme="1"/>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9" fontId="2" fillId="0" borderId="0" applyFont="0" applyFill="0" applyBorder="0" applyAlignment="0" applyProtection="0"/>
  </cellStyleXfs>
  <cellXfs count="66">
    <xf numFmtId="0" fontId="0" fillId="0" borderId="0" xfId="0"/>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3" xfId="0" applyBorder="1" applyAlignment="1">
      <alignment horizontal="center" vertical="center" wrapText="1"/>
    </xf>
    <xf numFmtId="14" fontId="0" fillId="0" borderId="3" xfId="0" applyNumberFormat="1" applyBorder="1" applyAlignment="1">
      <alignment horizontal="center" vertical="center" wrapText="1"/>
    </xf>
    <xf numFmtId="9" fontId="0" fillId="0" borderId="3" xfId="1" applyFont="1" applyBorder="1" applyAlignment="1">
      <alignment horizontal="center" vertical="center" wrapText="1"/>
    </xf>
    <xf numFmtId="0" fontId="0" fillId="0" borderId="4" xfId="0" applyBorder="1" applyAlignment="1">
      <alignment wrapText="1"/>
    </xf>
    <xf numFmtId="0" fontId="0" fillId="0" borderId="5" xfId="0" applyBorder="1" applyAlignment="1">
      <alignment wrapText="1"/>
    </xf>
    <xf numFmtId="0" fontId="1" fillId="0" borderId="6"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horizontal="center" vertical="center" wrapText="1"/>
    </xf>
    <xf numFmtId="0" fontId="0" fillId="0" borderId="8" xfId="0" applyBorder="1" applyAlignment="1">
      <alignment wrapText="1"/>
    </xf>
    <xf numFmtId="0" fontId="0" fillId="0" borderId="9" xfId="0" applyBorder="1" applyAlignment="1">
      <alignment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2" xfId="0" applyBorder="1" applyAlignment="1">
      <alignment horizontal="center" vertical="center" wrapText="1"/>
    </xf>
    <xf numFmtId="14" fontId="0" fillId="0" borderId="2" xfId="0" applyNumberForma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Border="1" applyAlignment="1">
      <alignment horizontal="center" vertical="center" wrapText="1"/>
    </xf>
    <xf numFmtId="0" fontId="0" fillId="0" borderId="0" xfId="0" applyBorder="1" applyAlignment="1">
      <alignment horizontal="center" vertical="center"/>
    </xf>
    <xf numFmtId="0" fontId="4" fillId="4" borderId="18" xfId="0" applyFont="1" applyFill="1" applyBorder="1" applyAlignment="1">
      <alignment horizontal="center" vertical="center" wrapText="1"/>
    </xf>
    <xf numFmtId="0" fontId="4" fillId="4" borderId="20" xfId="0" applyFont="1" applyFill="1" applyBorder="1" applyAlignment="1">
      <alignment horizontal="center" vertical="center"/>
    </xf>
    <xf numFmtId="0" fontId="4" fillId="3" borderId="18" xfId="0" applyFont="1" applyFill="1" applyBorder="1" applyAlignment="1">
      <alignment horizontal="center" vertical="center" wrapText="1"/>
    </xf>
    <xf numFmtId="0" fontId="5" fillId="3" borderId="20" xfId="0" applyFont="1" applyFill="1" applyBorder="1" applyAlignment="1">
      <alignment horizontal="center" vertical="center"/>
    </xf>
    <xf numFmtId="0" fontId="4" fillId="2" borderId="18" xfId="0" applyFont="1" applyFill="1" applyBorder="1" applyAlignment="1">
      <alignment horizontal="center" vertical="center" wrapText="1"/>
    </xf>
    <xf numFmtId="0" fontId="5" fillId="2" borderId="20" xfId="0" applyFont="1" applyFill="1" applyBorder="1" applyAlignment="1">
      <alignment horizontal="center" vertical="center"/>
    </xf>
    <xf numFmtId="0" fontId="4" fillId="2" borderId="21" xfId="0" applyFont="1" applyFill="1" applyBorder="1" applyAlignment="1">
      <alignment horizontal="center" vertical="center" wrapText="1"/>
    </xf>
    <xf numFmtId="0" fontId="5" fillId="2" borderId="17" xfId="0" applyFont="1" applyFill="1" applyBorder="1" applyAlignment="1">
      <alignment horizontal="center" vertical="center"/>
    </xf>
    <xf numFmtId="0" fontId="4" fillId="4" borderId="19"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4" fillId="3" borderId="19" xfId="0" applyFont="1" applyFill="1" applyBorder="1" applyAlignment="1">
      <alignment horizontal="center" vertical="center"/>
    </xf>
    <xf numFmtId="0" fontId="4" fillId="3" borderId="20" xfId="0" applyFont="1" applyFill="1" applyBorder="1" applyAlignment="1">
      <alignment horizontal="center" vertical="center" wrapText="1"/>
    </xf>
    <xf numFmtId="0" fontId="4" fillId="2" borderId="18" xfId="0" applyFont="1" applyFill="1" applyBorder="1" applyAlignment="1">
      <alignment horizontal="center" vertical="center"/>
    </xf>
    <xf numFmtId="0" fontId="5" fillId="2" borderId="20" xfId="0" applyFont="1" applyFill="1" applyBorder="1" applyAlignment="1">
      <alignment horizontal="center" vertical="center" wrapText="1"/>
    </xf>
    <xf numFmtId="0" fontId="4" fillId="3" borderId="18" xfId="0" applyFont="1" applyFill="1" applyBorder="1" applyAlignment="1">
      <alignment horizontal="center" vertical="center"/>
    </xf>
    <xf numFmtId="0" fontId="5" fillId="3" borderId="20" xfId="0" applyFont="1" applyFill="1" applyBorder="1" applyAlignment="1">
      <alignment horizontal="center" vertical="center" wrapText="1"/>
    </xf>
    <xf numFmtId="0" fontId="4" fillId="2" borderId="21" xfId="0" applyFont="1" applyFill="1" applyBorder="1" applyAlignment="1">
      <alignment horizontal="center" vertical="center"/>
    </xf>
    <xf numFmtId="0" fontId="5" fillId="2" borderId="17" xfId="0" applyFont="1" applyFill="1" applyBorder="1" applyAlignment="1">
      <alignment horizontal="center" vertical="center" wrapText="1"/>
    </xf>
    <xf numFmtId="0" fontId="0" fillId="0" borderId="7" xfId="0" applyBorder="1" applyAlignment="1">
      <alignment horizontal="left" vertical="center" wrapText="1"/>
    </xf>
    <xf numFmtId="0" fontId="0" fillId="0" borderId="5" xfId="0" applyBorder="1" applyAlignment="1">
      <alignment horizontal="left" vertical="center" wrapText="1"/>
    </xf>
    <xf numFmtId="0" fontId="0" fillId="0" borderId="5" xfId="0" applyBorder="1" applyAlignment="1">
      <alignment horizontal="left" vertical="top" wrapText="1"/>
    </xf>
    <xf numFmtId="0" fontId="0" fillId="0" borderId="9" xfId="0" applyBorder="1" applyAlignment="1">
      <alignment horizontal="left" vertical="center" wrapText="1"/>
    </xf>
    <xf numFmtId="0" fontId="3" fillId="0" borderId="0" xfId="0" applyFont="1" applyAlignment="1">
      <alignment horizontal="center" vertical="center"/>
    </xf>
    <xf numFmtId="0" fontId="3" fillId="0" borderId="0" xfId="0" applyFont="1" applyBorder="1" applyAlignment="1">
      <alignment horizontal="center" vertical="center" wrapText="1"/>
    </xf>
    <xf numFmtId="0" fontId="0" fillId="0" borderId="0" xfId="0" applyBorder="1" applyAlignment="1">
      <alignment horizontal="center" vertical="center" wrapText="1"/>
    </xf>
    <xf numFmtId="0" fontId="0" fillId="0" borderId="0" xfId="0" applyBorder="1"/>
    <xf numFmtId="9" fontId="0" fillId="0" borderId="1" xfId="1" applyFont="1" applyBorder="1" applyAlignment="1">
      <alignment horizontal="center" vertical="center" wrapText="1"/>
    </xf>
    <xf numFmtId="0" fontId="0" fillId="0" borderId="0" xfId="0" applyBorder="1" applyAlignment="1">
      <alignment wrapText="1"/>
    </xf>
    <xf numFmtId="0" fontId="1" fillId="0" borderId="2" xfId="0" applyFont="1" applyBorder="1" applyAlignment="1">
      <alignment horizontal="center" vertical="center" wrapText="1"/>
    </xf>
    <xf numFmtId="9" fontId="0" fillId="0" borderId="2" xfId="1" applyFont="1" applyBorder="1" applyAlignment="1">
      <alignment horizontal="center" vertical="center" wrapText="1"/>
    </xf>
  </cellXfs>
  <cellStyles count="2">
    <cellStyle name="Normal" xfId="0" builtinId="0"/>
    <cellStyle name="Percent" xfId="1" builtinId="5"/>
  </cellStyles>
  <dxfs count="87">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
      <border outline="0">
        <top style="medium">
          <color indexed="64"/>
        </top>
        <bottom style="thin">
          <color indexed="64"/>
        </bottom>
      </border>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medium">
          <color indexed="64"/>
        </bottom>
      </border>
    </dxf>
    <dxf>
      <border outline="0">
        <top style="medium">
          <color indexed="64"/>
        </top>
        <bottom style="thin">
          <color indexed="64"/>
        </bottom>
      </border>
    </dxf>
    <dxf>
      <alignment textRotation="0" wrapText="1" indent="0" justifyLastLine="0" shrinkToFit="0" readingOrder="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indexed="64"/>
        </top>
        <bottom style="thin">
          <color indexed="64"/>
        </bottom>
      </border>
    </dxf>
    <dxf>
      <alignment horizontal="center"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border outline="0">
        <top style="medium">
          <color indexed="64"/>
        </top>
        <bottom style="thin">
          <color indexed="64"/>
        </bottom>
      </border>
    </dxf>
    <dxf>
      <border outline="0">
        <bottom style="medium">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indexed="64"/>
        </top>
        <bottom style="thin">
          <color indexed="64"/>
        </bottom>
      </border>
    </dxf>
    <dxf>
      <alignment horizontal="center"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Finding Status</a:t>
            </a:r>
          </a:p>
        </c:rich>
      </c:tx>
      <c:layout>
        <c:manualLayout>
          <c:xMode val="edge"/>
          <c:yMode val="edge"/>
          <c:x val="0.33417344706911634"/>
          <c:y val="5.613126079447323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5.3803149606299221E-2"/>
          <c:y val="0.1852899378510329"/>
          <c:w val="0.91564129483814527"/>
          <c:h val="0.72125801983085447"/>
        </c:manualLayout>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 Dashboard'!$D$4:$D$6</c:f>
              <c:strCache>
                <c:ptCount val="3"/>
                <c:pt idx="0">
                  <c:v>Open</c:v>
                </c:pt>
                <c:pt idx="1">
                  <c:v>In Progress</c:v>
                </c:pt>
                <c:pt idx="2">
                  <c:v>Closed</c:v>
                </c:pt>
              </c:strCache>
            </c:strRef>
          </c:cat>
          <c:val>
            <c:numRef>
              <c:f>'Summary Dashboard'!$E$4:$E$6</c:f>
              <c:numCache>
                <c:formatCode>General</c:formatCode>
                <c:ptCount val="3"/>
                <c:pt idx="0">
                  <c:v>4</c:v>
                </c:pt>
                <c:pt idx="1">
                  <c:v>1</c:v>
                </c:pt>
                <c:pt idx="2">
                  <c:v>0</c:v>
                </c:pt>
              </c:numCache>
            </c:numRef>
          </c:val>
          <c:extLst>
            <c:ext xmlns:c16="http://schemas.microsoft.com/office/drawing/2014/chart" uri="{C3380CC4-5D6E-409C-BE32-E72D297353CC}">
              <c16:uniqueId val="{00000000-6932-46DE-BCD9-072AFD954363}"/>
            </c:ext>
          </c:extLst>
        </c:ser>
        <c:dLbls>
          <c:dLblPos val="inEnd"/>
          <c:showLegendKey val="0"/>
          <c:showVal val="1"/>
          <c:showCatName val="0"/>
          <c:showSerName val="0"/>
          <c:showPercent val="0"/>
          <c:showBubbleSize val="0"/>
        </c:dLbls>
        <c:gapWidth val="65"/>
        <c:axId val="1405731231"/>
        <c:axId val="1405733631"/>
      </c:barChart>
      <c:catAx>
        <c:axId val="14057312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5733631"/>
        <c:crosses val="autoZero"/>
        <c:auto val="1"/>
        <c:lblAlgn val="ctr"/>
        <c:lblOffset val="100"/>
        <c:noMultiLvlLbl val="0"/>
      </c:catAx>
      <c:valAx>
        <c:axId val="14057336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0573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312420</xdr:colOff>
      <xdr:row>0</xdr:row>
      <xdr:rowOff>339090</xdr:rowOff>
    </xdr:from>
    <xdr:to>
      <xdr:col>13</xdr:col>
      <xdr:colOff>7620</xdr:colOff>
      <xdr:row>14</xdr:row>
      <xdr:rowOff>179070</xdr:rowOff>
    </xdr:to>
    <xdr:graphicFrame macro="">
      <xdr:nvGraphicFramePr>
        <xdr:cNvPr id="2" name="Chart 1">
          <a:extLst>
            <a:ext uri="{FF2B5EF4-FFF2-40B4-BE49-F238E27FC236}">
              <a16:creationId xmlns:a16="http://schemas.microsoft.com/office/drawing/2014/main" id="{5AD3130C-0B99-7308-A269-F96DE4F29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AC46B81-781A-46FE-802F-79F71E9966FD}" name="Table7" displayName="Table7" ref="A1:B18" totalsRowShown="0" headerRowDxfId="0" dataDxfId="56" headerRowBorderDxfId="4" tableBorderDxfId="5" totalsRowBorderDxfId="3">
  <autoFilter ref="A1:B18" xr:uid="{DAC46B81-781A-46FE-802F-79F71E9966FD}"/>
  <tableColumns count="2">
    <tableColumn id="1" xr3:uid="{7D819659-D44D-4FDE-8C7E-B6B6E30D9F5B}" name="Menu" dataDxfId="2"/>
    <tableColumn id="2" xr3:uid="{17609BA7-C5BA-4CF8-841C-02C93F434240}" name="Instructions"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9D1496-313F-4A58-AA60-8337ED36B572}" name="AI_Inventory_List" displayName="AI_Inventory_List" ref="A1:M6" totalsRowShown="0" headerRowDxfId="40" dataDxfId="39" headerRowBorderDxfId="54" tableBorderDxfId="55">
  <autoFilter ref="A1:M6" xr:uid="{719D1496-313F-4A58-AA60-8337ED36B572}"/>
  <tableColumns count="13">
    <tableColumn id="1" xr3:uid="{66CA2AE9-1A31-498B-9401-07D80A7283DD}" name="System Name" dataDxfId="53"/>
    <tableColumn id="2" xr3:uid="{FECFB94E-004F-4CBB-9057-872F904E00EC}" name="Business Unit" dataDxfId="52"/>
    <tableColumn id="3" xr3:uid="{C9B0E59F-9E57-4D55-8FF5-DC3062E74FF8}" name="Owner" dataDxfId="51"/>
    <tableColumn id="4" xr3:uid="{DA4A6BB0-BD69-407C-80B0-41817CB77589}" name="AI Type" dataDxfId="50"/>
    <tableColumn id="5" xr3:uid="{CCC9868C-8EC7-4AC3-9DFD-C95BFD399BD5}" name="Purpose" dataDxfId="49"/>
    <tableColumn id="6" xr3:uid="{2E6227A4-2FAE-498F-903F-BDCEADBEF792}" name="Data Sensitivity" dataDxfId="48"/>
    <tableColumn id="7" xr3:uid="{7F6BDF09-5DB8-4785-A261-F6219110B6EB}" name="Risk Level" dataDxfId="47"/>
    <tableColumn id="8" xr3:uid="{72FDBEA9-A8E2-4ED1-9201-DEE17B1A9B0E}" name="Data Type" dataDxfId="46"/>
    <tableColumn id="9" xr3:uid="{6B444E53-3306-4FE4-8C5D-EC7E4ACAF288}" name="Human Oversight Required" dataDxfId="45"/>
    <tableColumn id="10" xr3:uid="{091BC53C-2C9A-41E8-A1DC-75FB3E0839A1}" name="Vendor / Platform" dataDxfId="44"/>
    <tableColumn id="11" xr3:uid="{6BAF10E1-DF23-4264-B326-3FD679B63D5F}" name="Status" dataDxfId="43"/>
    <tableColumn id="12" xr3:uid="{4C4EC91A-387E-478D-92A8-105D62783B98}" name="Last Review Date" dataDxfId="42"/>
    <tableColumn id="13" xr3:uid="{7D9C9426-9107-4BD5-A2FE-D8880E95908D}" name="Notes" dataDxfId="4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A99F83-6FA4-462B-B4B7-1F96E1267669}" name="Control_Testing" displayName="Control_Testing" ref="A1:L7" totalsRowShown="0" headerRowDxfId="26" dataDxfId="25" headerRowBorderDxfId="86" tableBorderDxfId="85" totalsRowBorderDxfId="84">
  <autoFilter ref="A1:L7" xr:uid="{15A99F83-6FA4-462B-B4B7-1F96E1267669}"/>
  <tableColumns count="12">
    <tableColumn id="1" xr3:uid="{2361FE91-D905-41DC-92A6-A51421B4765E}" name="Control ID" dataDxfId="38"/>
    <tableColumn id="2" xr3:uid="{D88E974D-A80F-47CF-9106-F50959AEA7AA}" name="Control Domain" dataDxfId="37"/>
    <tableColumn id="3" xr3:uid="{E07A2615-4E83-4039-B970-E07BBAB273FD}" name="Control Objective" dataDxfId="36"/>
    <tableColumn id="4" xr3:uid="{1C208DA9-1283-4C6B-9ED7-80857664765C}" name="Control Description" dataDxfId="35"/>
    <tableColumn id="5" xr3:uid="{85406C96-50CA-43C5-AB32-ED44AFCBB822}" name="Owner" dataDxfId="34"/>
    <tableColumn id="6" xr3:uid="{BF0937D2-B053-4A1A-98F3-85001AA39406}" name="Test Method" dataDxfId="33"/>
    <tableColumn id="7" xr3:uid="{7E16756B-E73A-4948-9DA8-937F7214BB2B}" name="Evidence Reviewed" dataDxfId="32"/>
    <tableColumn id="8" xr3:uid="{9A299170-1C14-4C3C-8ED3-23EB9EABCAA5}" name="Design Effectiveness" dataDxfId="31"/>
    <tableColumn id="9" xr3:uid="{62B30FF6-5AE7-4395-9898-527C3DADDCDE}" name="Operating Effectiveness" dataDxfId="30"/>
    <tableColumn id="10" xr3:uid="{68A1378B-FFBF-44D3-9B0B-76FCB17EF38B}" name="Result" dataDxfId="29"/>
    <tableColumn id="11" xr3:uid="{91616524-BBA8-4DF5-915D-0D940B77BD18}" name="Notes" dataDxfId="28"/>
    <tableColumn id="12" xr3:uid="{D60A9B21-BE78-4541-BE62-80E2F7B29C92}" name="Remediation Needed" dataDxfId="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C5E6D7D-1E7F-480D-86C9-C7EE7F86D703}" name="Maturity_Scoring" displayName="Maturity_Scoring" ref="A1:F8" totalsRowShown="0" headerRowDxfId="15" dataDxfId="16" headerRowBorderDxfId="23" tableBorderDxfId="24">
  <autoFilter ref="A1:F8" xr:uid="{AC5E6D7D-1E7F-480D-86C9-C7EE7F86D703}"/>
  <tableColumns count="6">
    <tableColumn id="1" xr3:uid="{355800F4-4263-4288-8CF9-609E47C4D7EA}" name="Domain" dataDxfId="22"/>
    <tableColumn id="2" xr3:uid="{6060A5F9-AFC7-415F-9C71-9825A5E0A136}" name="Score" dataDxfId="21"/>
    <tableColumn id="3" xr3:uid="{22F5B06F-1FFC-4D98-826F-E2030838752D}" name="Max Score" dataDxfId="20"/>
    <tableColumn id="4" xr3:uid="{BABB12D4-88E9-4FB1-A1D4-C71A62E73DEE}" name="Percentage" dataDxfId="19" dataCellStyle="Percent">
      <calculatedColumnFormula>B2/C2</calculatedColumnFormula>
    </tableColumn>
    <tableColumn id="5" xr3:uid="{C00C2E04-6381-499D-86BA-008D6E3BE0F1}" name="Maturity Level" dataDxfId="18"/>
    <tableColumn id="6" xr3:uid="{833B2788-735A-4A43-9310-1E3464959EE1}" name="Notes" dataDxfId="17" dataCellStyle="Perc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21226C0-B474-493C-B47E-25A3314E7484}" name="Findings_Register" displayName="Findings_Register" ref="A1:J6" totalsRowShown="0" headerRowDxfId="83" dataDxfId="81" headerRowBorderDxfId="82" tableBorderDxfId="80">
  <autoFilter ref="A1:J6" xr:uid="{D21226C0-B474-493C-B47E-25A3314E7484}"/>
  <tableColumns count="10">
    <tableColumn id="1" xr3:uid="{34AA99A1-A24C-44DB-BEC6-D2133925A714}" name="Finding ID" dataDxfId="79"/>
    <tableColumn id="2" xr3:uid="{C5627544-4F41-4BBC-B1A3-F1F086D27977}" name="Audit Area" dataDxfId="78"/>
    <tableColumn id="3" xr3:uid="{1291D33E-334D-4780-AE7A-4FD78FD3A20B}" name="Issue Summary" dataDxfId="77"/>
    <tableColumn id="4" xr3:uid="{1F30CBE8-6DDF-4FA8-957E-72092AB9E0D6}" name="Risk Level" dataDxfId="76"/>
    <tableColumn id="5" xr3:uid="{F3A4CF82-3C5A-4CA2-852C-98C34480A57C}" name="Impact" dataDxfId="75"/>
    <tableColumn id="6" xr3:uid="{FD7927FD-6D39-4A13-82D3-DF7553BEF001}" name="Recommendation" dataDxfId="74"/>
    <tableColumn id="7" xr3:uid="{9D4EFDF2-46AD-4DC3-94CF-8B5BEF5B6DDD}" name="Owner" dataDxfId="73"/>
    <tableColumn id="8" xr3:uid="{EB7C8205-861F-4307-9028-4BE20A26AA01}" name="Target Date" dataDxfId="72"/>
    <tableColumn id="9" xr3:uid="{B7A525EB-19B0-4E71-8ABB-C3C75D548829}" name="Status" dataDxfId="71"/>
    <tableColumn id="10" xr3:uid="{BE246301-A905-4534-B7CC-8F4D7DBD3332}" name="Evidence Reference" dataDxfId="7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1823E5-36A5-42F7-BE51-AECE0DC26498}" name="_30_60_90_Plan" displayName="_30_60_90_Plan" ref="A1:G7" totalsRowShown="0" headerRowDxfId="7" dataDxfId="6" headerRowBorderDxfId="69" tableBorderDxfId="68">
  <autoFilter ref="A1:G7" xr:uid="{731823E5-36A5-42F7-BE51-AECE0DC26498}"/>
  <tableColumns count="7">
    <tableColumn id="1" xr3:uid="{0B192A1D-B19D-458E-A497-92BE30669FA1}" name="Timeframe" dataDxfId="14"/>
    <tableColumn id="2" xr3:uid="{BB38B450-3CCB-4D07-AA24-2B19A2B0EF5E}" name="Action Item" dataDxfId="13"/>
    <tableColumn id="3" xr3:uid="{2292BE24-34DE-4EF6-AE7B-0111C530BA1B}" name="Objective" dataDxfId="12"/>
    <tableColumn id="4" xr3:uid="{2B200D2C-9086-4D89-8C00-87EB5E9F10A4}" name="Owner" dataDxfId="11"/>
    <tableColumn id="5" xr3:uid="{A1466D2F-E8E4-4D24-86A8-89F3DDBF7BD2}" name="Priority" dataDxfId="10"/>
    <tableColumn id="6" xr3:uid="{011C7FD0-EF27-4458-AA83-E3D3B0DC89A9}" name="Status" dataDxfId="9"/>
    <tableColumn id="7" xr3:uid="{1247581F-E63D-43F9-A756-95993CCEF099}" name="Notes" dataDxfId="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1E33FB-1FC0-4832-8F3C-A4B3FA39829A}" name="Certification_Readiness" displayName="Certification_Readiness" ref="A1:G7" totalsRowShown="0" headerRowDxfId="67" dataDxfId="65" headerRowBorderDxfId="66" tableBorderDxfId="64">
  <autoFilter ref="A1:G7" xr:uid="{361E33FB-1FC0-4832-8F3C-A4B3FA39829A}"/>
  <tableColumns count="7">
    <tableColumn id="1" xr3:uid="{C48889BB-E03F-4167-8BC0-95E5DD182B10}" name="Requirement Area" dataDxfId="63"/>
    <tableColumn id="2" xr3:uid="{8BB88BFA-456E-4AFB-B3A6-00EC521572EB}" name="Status" dataDxfId="62"/>
    <tableColumn id="3" xr3:uid="{4C547814-7BDF-4F30-9B8C-473A96EADA24}" name="Evidence Available" dataDxfId="61"/>
    <tableColumn id="4" xr3:uid="{D2B991AA-6739-4D26-A017-A66D0685F531}" name="Gaps Identified" dataDxfId="60"/>
    <tableColumn id="5" xr3:uid="{5A1A5E5B-CBDF-4A0C-9D45-CF330A5C0802}" name="Owner" dataDxfId="59"/>
    <tableColumn id="6" xr3:uid="{49C03517-B77B-4A83-817E-B8429A4E2101}" name="Target Completion Date" dataDxfId="58"/>
    <tableColumn id="7" xr3:uid="{3632472F-B46D-486D-9725-E4CDBCC388BF}" name="Notes" dataDxfId="5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55D35-BDFF-4861-8233-8BCF28CE6BB3}">
  <dimension ref="A1:B22"/>
  <sheetViews>
    <sheetView tabSelected="1" topLeftCell="A12" workbookViewId="0">
      <selection activeCell="B18" sqref="A1:B18"/>
    </sheetView>
  </sheetViews>
  <sheetFormatPr defaultRowHeight="14.4" x14ac:dyDescent="0.3"/>
  <cols>
    <col min="1" max="1" width="19.109375" customWidth="1"/>
    <col min="2" max="2" width="99.77734375" customWidth="1"/>
  </cols>
  <sheetData>
    <row r="1" spans="1:2" x14ac:dyDescent="0.3">
      <c r="A1" s="13" t="s">
        <v>107</v>
      </c>
      <c r="B1" s="54" t="s">
        <v>106</v>
      </c>
    </row>
    <row r="2" spans="1:2" x14ac:dyDescent="0.3">
      <c r="A2" s="32" t="s">
        <v>0</v>
      </c>
      <c r="B2" s="55"/>
    </row>
    <row r="3" spans="1:2" x14ac:dyDescent="0.3">
      <c r="A3" s="32"/>
      <c r="B3" s="55"/>
    </row>
    <row r="4" spans="1:2" ht="28.8" x14ac:dyDescent="0.3">
      <c r="A4" s="32" t="s">
        <v>1</v>
      </c>
      <c r="B4" s="55" t="s">
        <v>3</v>
      </c>
    </row>
    <row r="5" spans="1:2" x14ac:dyDescent="0.3">
      <c r="A5" s="32"/>
      <c r="B5" s="55"/>
    </row>
    <row r="6" spans="1:2" ht="43.2" x14ac:dyDescent="0.3">
      <c r="A6" s="32" t="s">
        <v>130</v>
      </c>
      <c r="B6" s="56" t="s">
        <v>2</v>
      </c>
    </row>
    <row r="7" spans="1:2" x14ac:dyDescent="0.3">
      <c r="A7" s="32"/>
      <c r="B7" s="55"/>
    </row>
    <row r="8" spans="1:2" ht="28.8" x14ac:dyDescent="0.3">
      <c r="A8" s="32" t="s">
        <v>4</v>
      </c>
      <c r="B8" s="55" t="s">
        <v>131</v>
      </c>
    </row>
    <row r="9" spans="1:2" x14ac:dyDescent="0.3">
      <c r="A9" s="32"/>
      <c r="B9" s="55"/>
    </row>
    <row r="10" spans="1:2" x14ac:dyDescent="0.3">
      <c r="A10" s="32" t="s">
        <v>127</v>
      </c>
      <c r="B10" s="55" t="s">
        <v>5</v>
      </c>
    </row>
    <row r="11" spans="1:2" x14ac:dyDescent="0.3">
      <c r="A11" s="32"/>
      <c r="B11" s="55"/>
    </row>
    <row r="12" spans="1:2" ht="43.2" x14ac:dyDescent="0.3">
      <c r="A12" s="32" t="s">
        <v>105</v>
      </c>
      <c r="B12" s="56" t="s">
        <v>132</v>
      </c>
    </row>
    <row r="13" spans="1:2" x14ac:dyDescent="0.3">
      <c r="A13" s="32"/>
      <c r="B13" s="55"/>
    </row>
    <row r="14" spans="1:2" ht="54" customHeight="1" x14ac:dyDescent="0.3">
      <c r="A14" s="32" t="s">
        <v>128</v>
      </c>
      <c r="B14" s="55" t="s">
        <v>129</v>
      </c>
    </row>
    <row r="15" spans="1:2" ht="54" customHeight="1" x14ac:dyDescent="0.3">
      <c r="A15" s="32"/>
      <c r="B15" s="55"/>
    </row>
    <row r="16" spans="1:2" x14ac:dyDescent="0.3">
      <c r="A16" s="32" t="s">
        <v>6</v>
      </c>
      <c r="B16" s="55">
        <v>1</v>
      </c>
    </row>
    <row r="17" spans="1:2" x14ac:dyDescent="0.3">
      <c r="A17" s="32" t="s">
        <v>7</v>
      </c>
      <c r="B17" s="55" t="s">
        <v>8</v>
      </c>
    </row>
    <row r="18" spans="1:2" x14ac:dyDescent="0.3">
      <c r="A18" s="33" t="s">
        <v>9</v>
      </c>
      <c r="B18" s="57" t="s">
        <v>10</v>
      </c>
    </row>
    <row r="22" spans="1:2" x14ac:dyDescent="0.3">
      <c r="B22" s="3"/>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76ED2-3D12-477E-9B5E-DC8FC832FCF9}">
  <dimension ref="A1:P11"/>
  <sheetViews>
    <sheetView workbookViewId="0">
      <pane xSplit="1" topLeftCell="B1" activePane="topRight" state="frozen"/>
      <selection pane="topRight" activeCell="B3" sqref="B3"/>
    </sheetView>
  </sheetViews>
  <sheetFormatPr defaultRowHeight="14.4" x14ac:dyDescent="0.3"/>
  <cols>
    <col min="1" max="1" width="35.109375" style="1" customWidth="1"/>
    <col min="2" max="2" width="19.88671875" style="1" customWidth="1"/>
    <col min="3" max="3" width="23.109375" style="1" customWidth="1"/>
    <col min="4" max="4" width="18.33203125" style="1" customWidth="1"/>
    <col min="5" max="5" width="57.21875" style="1" customWidth="1"/>
    <col min="6" max="7" width="17.21875" style="1" customWidth="1"/>
    <col min="8" max="8" width="25.33203125" style="1" customWidth="1"/>
    <col min="9" max="9" width="27.77734375" style="1" customWidth="1"/>
    <col min="10" max="10" width="27.109375" style="1" customWidth="1"/>
    <col min="11" max="11" width="13.33203125" style="1" customWidth="1"/>
    <col min="12" max="12" width="18.44140625" style="1" customWidth="1"/>
    <col min="13" max="13" width="57.44140625" style="1" customWidth="1"/>
    <col min="14" max="16384" width="8.88671875" style="1"/>
  </cols>
  <sheetData>
    <row r="1" spans="1:16" s="58" customFormat="1" ht="16.2" thickBot="1" x14ac:dyDescent="0.35">
      <c r="A1" s="23" t="s">
        <v>11</v>
      </c>
      <c r="B1" s="24" t="s">
        <v>12</v>
      </c>
      <c r="C1" s="24" t="s">
        <v>7</v>
      </c>
      <c r="D1" s="24" t="s">
        <v>13</v>
      </c>
      <c r="E1" s="24" t="s">
        <v>1</v>
      </c>
      <c r="F1" s="24" t="s">
        <v>134</v>
      </c>
      <c r="G1" s="24" t="s">
        <v>14</v>
      </c>
      <c r="H1" s="24" t="s">
        <v>15</v>
      </c>
      <c r="I1" s="24" t="s">
        <v>138</v>
      </c>
      <c r="J1" s="24" t="s">
        <v>139</v>
      </c>
      <c r="K1" s="24" t="s">
        <v>16</v>
      </c>
      <c r="L1" s="24" t="s">
        <v>133</v>
      </c>
      <c r="M1" s="25" t="s">
        <v>83</v>
      </c>
      <c r="N1" s="59"/>
      <c r="O1" s="59"/>
      <c r="P1" s="59"/>
    </row>
    <row r="2" spans="1:16" x14ac:dyDescent="0.3">
      <c r="A2" s="8" t="s">
        <v>140</v>
      </c>
      <c r="B2" s="8" t="s">
        <v>141</v>
      </c>
      <c r="C2" s="8" t="s">
        <v>17</v>
      </c>
      <c r="D2" s="8" t="s">
        <v>18</v>
      </c>
      <c r="E2" s="8" t="s">
        <v>19</v>
      </c>
      <c r="F2" s="8" t="s">
        <v>20</v>
      </c>
      <c r="G2" s="8" t="s">
        <v>20</v>
      </c>
      <c r="H2" s="8" t="s">
        <v>21</v>
      </c>
      <c r="I2" s="8" t="s">
        <v>22</v>
      </c>
      <c r="J2" s="8" t="s">
        <v>23</v>
      </c>
      <c r="K2" s="8" t="s">
        <v>136</v>
      </c>
      <c r="L2" s="9">
        <v>46132</v>
      </c>
      <c r="M2" s="8" t="s">
        <v>142</v>
      </c>
      <c r="N2" s="60"/>
      <c r="O2" s="60"/>
      <c r="P2" s="60"/>
    </row>
    <row r="3" spans="1:16" s="27" customFormat="1" x14ac:dyDescent="0.3">
      <c r="A3" s="6" t="s">
        <v>24</v>
      </c>
      <c r="B3" s="6" t="s">
        <v>143</v>
      </c>
      <c r="C3" s="6" t="s">
        <v>25</v>
      </c>
      <c r="D3" s="6" t="s">
        <v>18</v>
      </c>
      <c r="E3" s="6" t="s">
        <v>144</v>
      </c>
      <c r="F3" s="6" t="s">
        <v>135</v>
      </c>
      <c r="G3" s="6" t="s">
        <v>26</v>
      </c>
      <c r="H3" s="6" t="s">
        <v>145</v>
      </c>
      <c r="I3" s="6" t="s">
        <v>22</v>
      </c>
      <c r="J3" s="6" t="s">
        <v>146</v>
      </c>
      <c r="K3" s="6" t="s">
        <v>137</v>
      </c>
      <c r="L3" s="7">
        <v>46132</v>
      </c>
      <c r="M3" s="6" t="s">
        <v>147</v>
      </c>
      <c r="N3" s="60"/>
      <c r="O3" s="60"/>
      <c r="P3" s="60"/>
    </row>
    <row r="4" spans="1:16" x14ac:dyDescent="0.3">
      <c r="A4" s="6" t="s">
        <v>148</v>
      </c>
      <c r="B4" s="6" t="s">
        <v>27</v>
      </c>
      <c r="C4" s="6" t="s">
        <v>28</v>
      </c>
      <c r="D4" s="6" t="s">
        <v>29</v>
      </c>
      <c r="E4" s="6" t="s">
        <v>149</v>
      </c>
      <c r="F4" s="6" t="s">
        <v>20</v>
      </c>
      <c r="G4" s="6" t="s">
        <v>20</v>
      </c>
      <c r="H4" s="6" t="s">
        <v>150</v>
      </c>
      <c r="I4" s="6" t="s">
        <v>22</v>
      </c>
      <c r="J4" s="6" t="s">
        <v>151</v>
      </c>
      <c r="K4" s="6" t="s">
        <v>136</v>
      </c>
      <c r="L4" s="7">
        <v>46132</v>
      </c>
      <c r="M4" s="6" t="s">
        <v>152</v>
      </c>
      <c r="N4" s="60"/>
      <c r="O4" s="60"/>
      <c r="P4" s="60"/>
    </row>
    <row r="5" spans="1:16" x14ac:dyDescent="0.3">
      <c r="A5" s="6" t="s">
        <v>153</v>
      </c>
      <c r="B5" s="6" t="s">
        <v>30</v>
      </c>
      <c r="C5" s="6" t="s">
        <v>31</v>
      </c>
      <c r="D5" s="6" t="s">
        <v>18</v>
      </c>
      <c r="E5" s="6" t="s">
        <v>154</v>
      </c>
      <c r="F5" s="6" t="s">
        <v>135</v>
      </c>
      <c r="G5" s="6" t="s">
        <v>26</v>
      </c>
      <c r="H5" s="6" t="s">
        <v>155</v>
      </c>
      <c r="I5" s="6" t="s">
        <v>22</v>
      </c>
      <c r="J5" s="6" t="s">
        <v>156</v>
      </c>
      <c r="K5" s="6" t="s">
        <v>136</v>
      </c>
      <c r="L5" s="7">
        <v>46132</v>
      </c>
      <c r="M5" s="6" t="s">
        <v>157</v>
      </c>
      <c r="N5" s="60"/>
      <c r="O5" s="60"/>
      <c r="P5" s="60"/>
    </row>
    <row r="6" spans="1:16" ht="28.8" x14ac:dyDescent="0.3">
      <c r="A6" s="21" t="s">
        <v>32</v>
      </c>
      <c r="B6" s="21" t="s">
        <v>158</v>
      </c>
      <c r="C6" s="21" t="s">
        <v>33</v>
      </c>
      <c r="D6" s="21" t="s">
        <v>18</v>
      </c>
      <c r="E6" s="21" t="s">
        <v>159</v>
      </c>
      <c r="F6" s="21" t="s">
        <v>34</v>
      </c>
      <c r="G6" s="21" t="s">
        <v>34</v>
      </c>
      <c r="H6" s="21" t="s">
        <v>160</v>
      </c>
      <c r="I6" s="21" t="s">
        <v>22</v>
      </c>
      <c r="J6" s="21" t="s">
        <v>161</v>
      </c>
      <c r="K6" s="21" t="s">
        <v>136</v>
      </c>
      <c r="L6" s="22">
        <v>46132</v>
      </c>
      <c r="M6" s="21" t="s">
        <v>162</v>
      </c>
      <c r="N6" s="60"/>
      <c r="O6" s="60"/>
      <c r="P6" s="60"/>
    </row>
    <row r="11" spans="1:16" x14ac:dyDescent="0.3">
      <c r="I11" s="27"/>
    </row>
  </sheetData>
  <dataValidations count="4">
    <dataValidation type="list" allowBlank="1" showInputMessage="1" showErrorMessage="1" sqref="G2:G6" xr:uid="{AED32558-CA6D-4B2B-9453-27ADB3F27C84}">
      <formula1>"High, Medium, Low"</formula1>
    </dataValidation>
    <dataValidation type="list" allowBlank="1" showInputMessage="1" showErrorMessage="1" sqref="I2:I6" xr:uid="{388AC8D6-9882-4665-BC23-1C459655F0C0}">
      <formula1>"Yes, No"</formula1>
    </dataValidation>
    <dataValidation type="list" allowBlank="1" showInputMessage="1" showErrorMessage="1" sqref="K2:K6" xr:uid="{5757453E-3984-4C4F-9C5B-668B6ACA7447}">
      <formula1>"Active, Planned, Retired, Under Review"</formula1>
    </dataValidation>
    <dataValidation type="list" allowBlank="1" showInputMessage="1" showErrorMessage="1" sqref="F2:F6" xr:uid="{32EC2EB6-FF31-44B4-BE75-7AFD28A76C7B}">
      <formula1>"Low, Moderate, High, Restricted"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4B7F-268A-4D79-A28D-C5C1E8B441AB}">
  <dimension ref="A1:M13"/>
  <sheetViews>
    <sheetView workbookViewId="0">
      <pane ySplit="1" topLeftCell="A2" activePane="bottomLeft" state="frozen"/>
      <selection pane="bottomLeft" activeCell="G4" sqref="G4"/>
    </sheetView>
  </sheetViews>
  <sheetFormatPr defaultRowHeight="14.4" x14ac:dyDescent="0.3"/>
  <cols>
    <col min="1" max="1" width="18.6640625" customWidth="1"/>
    <col min="2" max="2" width="22.33203125" customWidth="1"/>
    <col min="3" max="3" width="22.5546875" customWidth="1"/>
    <col min="4" max="4" width="31.21875" customWidth="1"/>
    <col min="5" max="5" width="16.44140625" customWidth="1"/>
    <col min="6" max="6" width="26" customWidth="1"/>
    <col min="7" max="7" width="20.5546875" customWidth="1"/>
    <col min="8" max="8" width="19.77734375" customWidth="1"/>
    <col min="9" max="9" width="22.44140625" customWidth="1"/>
    <col min="10" max="10" width="13.21875" customWidth="1"/>
    <col min="11" max="11" width="48.88671875" customWidth="1"/>
    <col min="12" max="12" width="24.109375" customWidth="1"/>
  </cols>
  <sheetData>
    <row r="1" spans="1:13" x14ac:dyDescent="0.3">
      <c r="A1" s="13" t="s">
        <v>163</v>
      </c>
      <c r="B1" s="14" t="s">
        <v>36</v>
      </c>
      <c r="C1" s="14" t="s">
        <v>37</v>
      </c>
      <c r="D1" s="14" t="s">
        <v>38</v>
      </c>
      <c r="E1" s="14" t="s">
        <v>7</v>
      </c>
      <c r="F1" s="14" t="s">
        <v>39</v>
      </c>
      <c r="G1" s="14" t="s">
        <v>40</v>
      </c>
      <c r="H1" s="14" t="s">
        <v>41</v>
      </c>
      <c r="I1" s="14" t="s">
        <v>42</v>
      </c>
      <c r="J1" s="14" t="s">
        <v>43</v>
      </c>
      <c r="K1" s="14" t="s">
        <v>83</v>
      </c>
      <c r="L1" s="15" t="s">
        <v>44</v>
      </c>
      <c r="M1" s="2"/>
    </row>
    <row r="2" spans="1:13" ht="43.2" x14ac:dyDescent="0.3">
      <c r="A2" s="11" t="s">
        <v>45</v>
      </c>
      <c r="B2" s="4" t="s">
        <v>46</v>
      </c>
      <c r="C2" s="4" t="s">
        <v>164</v>
      </c>
      <c r="D2" s="4" t="s">
        <v>165</v>
      </c>
      <c r="E2" s="4" t="s">
        <v>47</v>
      </c>
      <c r="F2" s="4" t="s">
        <v>166</v>
      </c>
      <c r="G2" s="4" t="s">
        <v>167</v>
      </c>
      <c r="H2" s="4" t="s">
        <v>48</v>
      </c>
      <c r="I2" s="4" t="s">
        <v>48</v>
      </c>
      <c r="J2" s="4" t="s">
        <v>49</v>
      </c>
      <c r="K2" s="4" t="s">
        <v>168</v>
      </c>
      <c r="L2" s="12" t="s">
        <v>35</v>
      </c>
    </row>
    <row r="3" spans="1:13" ht="43.2" x14ac:dyDescent="0.3">
      <c r="A3" s="11" t="s">
        <v>50</v>
      </c>
      <c r="B3" s="4" t="s">
        <v>54</v>
      </c>
      <c r="C3" s="4" t="s">
        <v>169</v>
      </c>
      <c r="D3" s="4" t="s">
        <v>170</v>
      </c>
      <c r="E3" s="4" t="s">
        <v>59</v>
      </c>
      <c r="F3" s="4" t="s">
        <v>171</v>
      </c>
      <c r="G3" s="4" t="s">
        <v>172</v>
      </c>
      <c r="H3" s="4" t="s">
        <v>48</v>
      </c>
      <c r="I3" s="4" t="s">
        <v>58</v>
      </c>
      <c r="J3" s="4" t="s">
        <v>56</v>
      </c>
      <c r="K3" s="4" t="s">
        <v>173</v>
      </c>
      <c r="L3" s="12" t="s">
        <v>22</v>
      </c>
    </row>
    <row r="4" spans="1:13" ht="43.2" x14ac:dyDescent="0.3">
      <c r="A4" s="11" t="s">
        <v>51</v>
      </c>
      <c r="B4" s="4" t="s">
        <v>70</v>
      </c>
      <c r="C4" s="4" t="s">
        <v>174</v>
      </c>
      <c r="D4" s="4" t="s">
        <v>175</v>
      </c>
      <c r="E4" s="4" t="s">
        <v>60</v>
      </c>
      <c r="F4" s="4" t="s">
        <v>176</v>
      </c>
      <c r="G4" s="4" t="s">
        <v>177</v>
      </c>
      <c r="H4" s="4" t="s">
        <v>48</v>
      </c>
      <c r="I4" s="4" t="s">
        <v>58</v>
      </c>
      <c r="J4" s="4" t="s">
        <v>56</v>
      </c>
      <c r="K4" s="4" t="s">
        <v>178</v>
      </c>
      <c r="L4" s="12" t="s">
        <v>22</v>
      </c>
    </row>
    <row r="5" spans="1:13" ht="43.2" x14ac:dyDescent="0.3">
      <c r="A5" s="11" t="s">
        <v>179</v>
      </c>
      <c r="B5" s="4" t="s">
        <v>180</v>
      </c>
      <c r="C5" s="4" t="s">
        <v>181</v>
      </c>
      <c r="D5" s="4" t="s">
        <v>182</v>
      </c>
      <c r="E5" s="4" t="s">
        <v>183</v>
      </c>
      <c r="F5" s="4" t="s">
        <v>184</v>
      </c>
      <c r="G5" s="4" t="s">
        <v>185</v>
      </c>
      <c r="H5" s="4" t="s">
        <v>58</v>
      </c>
      <c r="I5" s="4" t="s">
        <v>58</v>
      </c>
      <c r="J5" s="4" t="s">
        <v>57</v>
      </c>
      <c r="K5" s="4" t="s">
        <v>186</v>
      </c>
      <c r="L5" s="12" t="s">
        <v>22</v>
      </c>
    </row>
    <row r="6" spans="1:13" ht="43.2" x14ac:dyDescent="0.3">
      <c r="A6" s="16" t="s">
        <v>52</v>
      </c>
      <c r="B6" s="5" t="s">
        <v>78</v>
      </c>
      <c r="C6" s="5" t="s">
        <v>187</v>
      </c>
      <c r="D6" s="5" t="s">
        <v>188</v>
      </c>
      <c r="E6" s="5" t="s">
        <v>61</v>
      </c>
      <c r="F6" s="5" t="s">
        <v>189</v>
      </c>
      <c r="G6" s="5" t="s">
        <v>190</v>
      </c>
      <c r="H6" s="5" t="s">
        <v>48</v>
      </c>
      <c r="I6" s="5" t="s">
        <v>48</v>
      </c>
      <c r="J6" s="5" t="s">
        <v>49</v>
      </c>
      <c r="K6" s="5" t="s">
        <v>191</v>
      </c>
      <c r="L6" s="17" t="s">
        <v>35</v>
      </c>
    </row>
    <row r="7" spans="1:13" ht="43.2" x14ac:dyDescent="0.3">
      <c r="A7" s="11" t="s">
        <v>53</v>
      </c>
      <c r="B7" s="4" t="s">
        <v>74</v>
      </c>
      <c r="C7" s="4" t="s">
        <v>192</v>
      </c>
      <c r="D7" s="4" t="s">
        <v>193</v>
      </c>
      <c r="E7" s="4" t="s">
        <v>55</v>
      </c>
      <c r="F7" s="4" t="s">
        <v>194</v>
      </c>
      <c r="G7" s="4" t="s">
        <v>195</v>
      </c>
      <c r="H7" s="4" t="s">
        <v>58</v>
      </c>
      <c r="I7" s="4" t="s">
        <v>58</v>
      </c>
      <c r="J7" s="4" t="s">
        <v>56</v>
      </c>
      <c r="K7" s="4" t="s">
        <v>196</v>
      </c>
      <c r="L7" s="12" t="s">
        <v>22</v>
      </c>
    </row>
    <row r="8" spans="1:13" x14ac:dyDescent="0.3">
      <c r="A8" s="3"/>
      <c r="B8" s="3"/>
      <c r="C8" s="3"/>
      <c r="D8" s="3"/>
      <c r="E8" s="3"/>
      <c r="F8" s="3"/>
      <c r="G8" s="3"/>
      <c r="H8" s="3"/>
      <c r="I8" s="3"/>
      <c r="J8" s="3"/>
      <c r="K8" s="3"/>
      <c r="L8" s="3"/>
    </row>
    <row r="9" spans="1:13" x14ac:dyDescent="0.3">
      <c r="A9" s="3"/>
      <c r="B9" s="3"/>
      <c r="C9" s="3"/>
      <c r="D9" s="3"/>
      <c r="E9" s="3"/>
      <c r="F9" s="3"/>
      <c r="G9" s="3"/>
      <c r="H9" s="3"/>
      <c r="I9" s="3"/>
      <c r="J9" s="3"/>
      <c r="K9" s="3"/>
      <c r="L9" s="3"/>
    </row>
    <row r="10" spans="1:13" x14ac:dyDescent="0.3">
      <c r="A10" s="3"/>
      <c r="B10" s="3"/>
      <c r="C10" s="3"/>
      <c r="D10" s="3"/>
      <c r="E10" s="3"/>
      <c r="F10" s="3"/>
      <c r="G10" s="3"/>
      <c r="H10" s="3"/>
      <c r="I10" s="3"/>
      <c r="J10" s="3"/>
      <c r="K10" s="3"/>
      <c r="L10" s="3"/>
    </row>
    <row r="11" spans="1:13" x14ac:dyDescent="0.3">
      <c r="A11" s="3"/>
      <c r="B11" s="3"/>
      <c r="C11" s="3"/>
      <c r="D11" s="3"/>
      <c r="E11" s="3"/>
      <c r="F11" s="3"/>
      <c r="G11" s="3"/>
      <c r="H11" s="3"/>
      <c r="I11" s="3"/>
      <c r="J11" s="3"/>
      <c r="K11" s="3"/>
      <c r="L11" s="3"/>
    </row>
    <row r="12" spans="1:13" x14ac:dyDescent="0.3">
      <c r="A12" s="3"/>
      <c r="B12" s="3"/>
      <c r="C12" s="3"/>
      <c r="D12" s="3"/>
      <c r="E12" s="3"/>
      <c r="F12" s="3"/>
      <c r="G12" s="3"/>
      <c r="H12" s="3"/>
      <c r="I12" s="3"/>
      <c r="J12" s="3"/>
      <c r="K12" s="3"/>
      <c r="L12" s="3"/>
    </row>
    <row r="13" spans="1:13" x14ac:dyDescent="0.3">
      <c r="A13" s="3"/>
      <c r="B13" s="3"/>
      <c r="C13" s="3"/>
      <c r="D13" s="3"/>
      <c r="E13" s="3"/>
      <c r="F13" s="3"/>
      <c r="G13" s="3"/>
      <c r="H13" s="3"/>
      <c r="I13" s="3"/>
      <c r="J13" s="3"/>
      <c r="K13" s="3"/>
      <c r="L13" s="3"/>
    </row>
  </sheetData>
  <dataValidations count="3">
    <dataValidation type="list" allowBlank="1" showInputMessage="1" showErrorMessage="1" sqref="H2:I7" xr:uid="{BD026A89-0898-4931-AD4D-6E7BD474869D}">
      <formula1>"Effective, Needs Improvement, Ineffective"</formula1>
    </dataValidation>
    <dataValidation type="list" allowBlank="1" showInputMessage="1" showErrorMessage="1" sqref="J2:J7" xr:uid="{AA8E973B-524F-4B74-B4D3-A0D5AD23AB69}">
      <formula1>"Pass, Partial Pass, Fail"</formula1>
    </dataValidation>
    <dataValidation type="list" allowBlank="1" showInputMessage="1" showErrorMessage="1" sqref="L2:L7" xr:uid="{56FAD62C-E4CF-4310-BBB7-5DAC98328CD1}">
      <formula1>"Yes, 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07E88-23B1-467C-913A-F8EFE6D3DEB5}">
  <dimension ref="A1:H8"/>
  <sheetViews>
    <sheetView workbookViewId="0">
      <pane ySplit="1" topLeftCell="A2" activePane="bottomLeft" state="frozen"/>
      <selection pane="bottomLeft" activeCell="C16" sqref="C16"/>
    </sheetView>
  </sheetViews>
  <sheetFormatPr defaultRowHeight="14.4" x14ac:dyDescent="0.3"/>
  <cols>
    <col min="1" max="1" width="17.77734375" customWidth="1"/>
    <col min="2" max="2" width="14.88671875" customWidth="1"/>
    <col min="3" max="5" width="20.21875" customWidth="1"/>
    <col min="6" max="6" width="53.33203125" customWidth="1"/>
    <col min="7" max="7" width="22.109375" style="61" customWidth="1"/>
    <col min="8" max="8" width="44.109375" style="61" customWidth="1"/>
  </cols>
  <sheetData>
    <row r="1" spans="1:8" ht="16.2" thickBot="1" x14ac:dyDescent="0.35">
      <c r="A1" s="23" t="s">
        <v>79</v>
      </c>
      <c r="B1" s="24" t="s">
        <v>80</v>
      </c>
      <c r="C1" s="24" t="s">
        <v>81</v>
      </c>
      <c r="D1" s="24" t="s">
        <v>84</v>
      </c>
      <c r="E1" s="24" t="s">
        <v>82</v>
      </c>
      <c r="F1" s="25" t="s">
        <v>83</v>
      </c>
      <c r="G1" s="34"/>
      <c r="H1" s="34"/>
    </row>
    <row r="2" spans="1:8" ht="28.8" x14ac:dyDescent="0.3">
      <c r="A2" s="14" t="s">
        <v>46</v>
      </c>
      <c r="B2" s="8">
        <v>4</v>
      </c>
      <c r="C2" s="8">
        <v>5</v>
      </c>
      <c r="D2" s="10">
        <f>B2/C2</f>
        <v>0.8</v>
      </c>
      <c r="E2" s="8" t="str">
        <f>IF(D2&gt;=0.8,"Managed",IF(D2&gt;=0.6,"Defined",IF(D2&gt;=0.4,"Developing","Initial")))</f>
        <v>Managed</v>
      </c>
      <c r="F2" s="10" t="s">
        <v>212</v>
      </c>
      <c r="G2" s="60"/>
      <c r="H2" s="60"/>
    </row>
    <row r="3" spans="1:8" ht="28.8" x14ac:dyDescent="0.3">
      <c r="A3" s="26" t="s">
        <v>54</v>
      </c>
      <c r="B3" s="6">
        <v>3</v>
      </c>
      <c r="C3" s="6">
        <v>5</v>
      </c>
      <c r="D3" s="62">
        <f t="shared" ref="D3:D7" si="0">B3/C3</f>
        <v>0.6</v>
      </c>
      <c r="E3" s="6" t="str">
        <f>IF(D3&gt;=0.8,"Managed",IF(D3&gt;=0.6,"Defined",IF(D3&gt;=0.4,"Developing","Initial")))</f>
        <v>Defined</v>
      </c>
      <c r="F3" s="62" t="s">
        <v>213</v>
      </c>
      <c r="G3" s="60"/>
      <c r="H3" s="60"/>
    </row>
    <row r="4" spans="1:8" ht="28.8" x14ac:dyDescent="0.3">
      <c r="A4" s="26" t="s">
        <v>70</v>
      </c>
      <c r="B4" s="6">
        <v>3</v>
      </c>
      <c r="C4" s="6">
        <v>5</v>
      </c>
      <c r="D4" s="62">
        <f t="shared" si="0"/>
        <v>0.6</v>
      </c>
      <c r="E4" s="6" t="str">
        <f>IF(D4&gt;=0.8,"Managed",IF(D4&gt;=0.6,"Defined",IF(D4&gt;=0.4,"Developing","Initial")))</f>
        <v>Defined</v>
      </c>
      <c r="F4" s="62" t="s">
        <v>214</v>
      </c>
      <c r="G4" s="60"/>
      <c r="H4" s="60"/>
    </row>
    <row r="5" spans="1:8" ht="28.8" x14ac:dyDescent="0.3">
      <c r="A5" s="26" t="s">
        <v>180</v>
      </c>
      <c r="B5" s="6">
        <v>2</v>
      </c>
      <c r="C5" s="6">
        <v>5</v>
      </c>
      <c r="D5" s="62">
        <f t="shared" si="0"/>
        <v>0.4</v>
      </c>
      <c r="E5" s="6" t="str">
        <f>IF(D5&gt;=0.8,"Managed",IF(D5&gt;=0.6,"Defined",IF(D5&gt;=0.4,"Developing","Initial")))</f>
        <v>Developing</v>
      </c>
      <c r="F5" s="62" t="s">
        <v>215</v>
      </c>
      <c r="G5" s="60"/>
      <c r="H5" s="60"/>
    </row>
    <row r="6" spans="1:8" ht="28.8" x14ac:dyDescent="0.3">
      <c r="A6" s="26" t="s">
        <v>78</v>
      </c>
      <c r="B6" s="6">
        <v>4</v>
      </c>
      <c r="C6" s="6">
        <v>5</v>
      </c>
      <c r="D6" s="62">
        <f t="shared" si="0"/>
        <v>0.8</v>
      </c>
      <c r="E6" s="6" t="str">
        <f>IF(D6&gt;=0.8,"Managed",IF(D6&gt;=0.6,"Defined",IF(D6&gt;=0.4,"Developing","Initial")))</f>
        <v>Managed</v>
      </c>
      <c r="F6" s="62" t="s">
        <v>216</v>
      </c>
      <c r="G6" s="60"/>
      <c r="H6" s="60"/>
    </row>
    <row r="7" spans="1:8" ht="28.8" x14ac:dyDescent="0.3">
      <c r="A7" s="26" t="s">
        <v>74</v>
      </c>
      <c r="B7" s="6">
        <v>2</v>
      </c>
      <c r="C7" s="6">
        <v>5</v>
      </c>
      <c r="D7" s="62">
        <f t="shared" si="0"/>
        <v>0.4</v>
      </c>
      <c r="E7" s="6" t="str">
        <f>IF(D7&gt;=0.8,"Managed",IF(D7&gt;=0.6,"Defined",IF(D7&gt;=0.4,"Developing","Initial")))</f>
        <v>Developing</v>
      </c>
      <c r="F7" s="62" t="s">
        <v>217</v>
      </c>
      <c r="G7" s="60"/>
      <c r="H7" s="60"/>
    </row>
    <row r="8" spans="1:8" s="63" customFormat="1" ht="43.2" x14ac:dyDescent="0.3">
      <c r="A8" s="64" t="s">
        <v>108</v>
      </c>
      <c r="B8" s="21">
        <f>SUM(B2:B7)</f>
        <v>18</v>
      </c>
      <c r="C8" s="21">
        <f>SUM(C2:C7)</f>
        <v>30</v>
      </c>
      <c r="D8" s="65">
        <f>B8/C8</f>
        <v>0.6</v>
      </c>
      <c r="E8" s="21" t="str">
        <f>IF(D8&gt;=0.8,"Managed",IF(D8&gt;=0.6,"Defined",IF(D8&gt;=0.4,"Developing","Initial")))</f>
        <v>Defined</v>
      </c>
      <c r="F8" s="21" t="s">
        <v>218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B92FB-BF6A-4927-A8AD-925EF27EE693}">
  <dimension ref="A1:J6"/>
  <sheetViews>
    <sheetView workbookViewId="0">
      <pane ySplit="1" topLeftCell="A2" activePane="bottomLeft" state="frozen"/>
      <selection pane="bottomLeft" activeCell="I3" sqref="I3"/>
    </sheetView>
  </sheetViews>
  <sheetFormatPr defaultRowHeight="14.4" x14ac:dyDescent="0.3"/>
  <cols>
    <col min="1" max="1" width="15.6640625" customWidth="1"/>
    <col min="2" max="2" width="14.21875" customWidth="1"/>
    <col min="3" max="3" width="30.6640625" customWidth="1"/>
    <col min="4" max="4" width="12.44140625" customWidth="1"/>
    <col min="5" max="5" width="26.77734375" customWidth="1"/>
    <col min="6" max="6" width="40.88671875" customWidth="1"/>
    <col min="7" max="7" width="15.44140625" customWidth="1"/>
    <col min="8" max="8" width="14.77734375" customWidth="1"/>
    <col min="10" max="10" width="21.109375" customWidth="1"/>
  </cols>
  <sheetData>
    <row r="1" spans="1:10" ht="15" thickBot="1" x14ac:dyDescent="0.35">
      <c r="A1" s="18" t="s">
        <v>62</v>
      </c>
      <c r="B1" s="19" t="s">
        <v>63</v>
      </c>
      <c r="C1" s="19" t="s">
        <v>64</v>
      </c>
      <c r="D1" s="19" t="s">
        <v>14</v>
      </c>
      <c r="E1" s="19" t="s">
        <v>65</v>
      </c>
      <c r="F1" s="19" t="s">
        <v>66</v>
      </c>
      <c r="G1" s="19" t="s">
        <v>7</v>
      </c>
      <c r="H1" s="19" t="s">
        <v>67</v>
      </c>
      <c r="I1" s="19" t="s">
        <v>16</v>
      </c>
      <c r="J1" s="20" t="s">
        <v>68</v>
      </c>
    </row>
    <row r="2" spans="1:10" ht="43.2" x14ac:dyDescent="0.3">
      <c r="A2" s="8" t="s">
        <v>69</v>
      </c>
      <c r="B2" s="8" t="s">
        <v>54</v>
      </c>
      <c r="C2" s="8" t="s">
        <v>197</v>
      </c>
      <c r="D2" s="8" t="s">
        <v>26</v>
      </c>
      <c r="E2" s="8" t="s">
        <v>198</v>
      </c>
      <c r="F2" s="8" t="s">
        <v>199</v>
      </c>
      <c r="G2" s="8" t="s">
        <v>59</v>
      </c>
      <c r="H2" s="9">
        <v>46162</v>
      </c>
      <c r="I2" s="8" t="s">
        <v>71</v>
      </c>
      <c r="J2" s="8" t="s">
        <v>50</v>
      </c>
    </row>
    <row r="3" spans="1:10" ht="43.2" x14ac:dyDescent="0.3">
      <c r="A3" s="6" t="s">
        <v>72</v>
      </c>
      <c r="B3" s="6" t="s">
        <v>70</v>
      </c>
      <c r="C3" s="6" t="s">
        <v>200</v>
      </c>
      <c r="D3" s="6" t="s">
        <v>20</v>
      </c>
      <c r="E3" s="6" t="s">
        <v>201</v>
      </c>
      <c r="F3" s="6" t="s">
        <v>202</v>
      </c>
      <c r="G3" s="6" t="s">
        <v>60</v>
      </c>
      <c r="H3" s="7">
        <v>46167</v>
      </c>
      <c r="I3" s="6" t="s">
        <v>71</v>
      </c>
      <c r="J3" s="6" t="s">
        <v>51</v>
      </c>
    </row>
    <row r="4" spans="1:10" ht="43.2" x14ac:dyDescent="0.3">
      <c r="A4" s="6" t="s">
        <v>73</v>
      </c>
      <c r="B4" s="6" t="s">
        <v>180</v>
      </c>
      <c r="C4" s="6" t="s">
        <v>203</v>
      </c>
      <c r="D4" s="6" t="s">
        <v>20</v>
      </c>
      <c r="E4" s="6" t="s">
        <v>204</v>
      </c>
      <c r="F4" s="6" t="s">
        <v>205</v>
      </c>
      <c r="G4" s="6" t="s">
        <v>183</v>
      </c>
      <c r="H4" s="7">
        <v>46164</v>
      </c>
      <c r="I4" s="6" t="s">
        <v>75</v>
      </c>
      <c r="J4" s="6" t="s">
        <v>179</v>
      </c>
    </row>
    <row r="5" spans="1:10" ht="57.6" x14ac:dyDescent="0.3">
      <c r="A5" s="6" t="s">
        <v>76</v>
      </c>
      <c r="B5" s="6" t="s">
        <v>74</v>
      </c>
      <c r="C5" s="6" t="s">
        <v>206</v>
      </c>
      <c r="D5" s="6" t="s">
        <v>26</v>
      </c>
      <c r="E5" s="6" t="s">
        <v>207</v>
      </c>
      <c r="F5" s="6" t="s">
        <v>208</v>
      </c>
      <c r="G5" s="6" t="s">
        <v>55</v>
      </c>
      <c r="H5" s="7">
        <v>46172</v>
      </c>
      <c r="I5" s="6" t="s">
        <v>71</v>
      </c>
      <c r="J5" s="6" t="s">
        <v>53</v>
      </c>
    </row>
    <row r="6" spans="1:10" ht="43.2" x14ac:dyDescent="0.3">
      <c r="A6" s="21" t="s">
        <v>77</v>
      </c>
      <c r="B6" s="21" t="s">
        <v>78</v>
      </c>
      <c r="C6" s="21" t="s">
        <v>209</v>
      </c>
      <c r="D6" s="21" t="s">
        <v>34</v>
      </c>
      <c r="E6" s="21" t="s">
        <v>210</v>
      </c>
      <c r="F6" s="21" t="s">
        <v>211</v>
      </c>
      <c r="G6" s="21" t="s">
        <v>61</v>
      </c>
      <c r="H6" s="22">
        <v>46178</v>
      </c>
      <c r="I6" s="21" t="s">
        <v>71</v>
      </c>
      <c r="J6" s="21" t="s">
        <v>52</v>
      </c>
    </row>
  </sheetData>
  <dataValidations count="2">
    <dataValidation type="list" allowBlank="1" showInputMessage="1" showErrorMessage="1" sqref="D2:D6" xr:uid="{37BF056B-A32A-4A0B-95E0-2C106E781E2C}">
      <formula1>"Low, Medium, High, Critical"</formula1>
    </dataValidation>
    <dataValidation type="list" allowBlank="1" showInputMessage="1" showErrorMessage="1" sqref="I2:I6" xr:uid="{9BC914A1-BAAB-447B-90C9-29161E44542E}">
      <formula1>"Open, In Progress, Closed, 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CCED9-C01D-485C-8323-F5E0B74F0C60}">
  <dimension ref="A1:G7"/>
  <sheetViews>
    <sheetView workbookViewId="0">
      <pane ySplit="1" topLeftCell="A2" activePane="bottomLeft" state="frozen"/>
      <selection pane="bottomLeft" sqref="A1:G7"/>
    </sheetView>
  </sheetViews>
  <sheetFormatPr defaultRowHeight="14.4" x14ac:dyDescent="0.3"/>
  <cols>
    <col min="1" max="1" width="16.21875" customWidth="1"/>
    <col min="2" max="2" width="24.88671875" customWidth="1"/>
    <col min="3" max="3" width="44.77734375" customWidth="1"/>
    <col min="4" max="4" width="17" customWidth="1"/>
    <col min="5" max="5" width="15.88671875" customWidth="1"/>
    <col min="6" max="6" width="16.77734375" customWidth="1"/>
    <col min="7" max="7" width="44.44140625" customWidth="1"/>
  </cols>
  <sheetData>
    <row r="1" spans="1:7" ht="16.2" thickBot="1" x14ac:dyDescent="0.35">
      <c r="A1" s="23" t="s">
        <v>97</v>
      </c>
      <c r="B1" s="24" t="s">
        <v>98</v>
      </c>
      <c r="C1" s="24" t="s">
        <v>99</v>
      </c>
      <c r="D1" s="24" t="s">
        <v>7</v>
      </c>
      <c r="E1" s="24" t="s">
        <v>100</v>
      </c>
      <c r="F1" s="24" t="s">
        <v>16</v>
      </c>
      <c r="G1" s="25" t="s">
        <v>83</v>
      </c>
    </row>
    <row r="2" spans="1:7" ht="28.8" x14ac:dyDescent="0.3">
      <c r="A2" s="8" t="s">
        <v>101</v>
      </c>
      <c r="B2" s="8" t="s">
        <v>232</v>
      </c>
      <c r="C2" s="8" t="s">
        <v>233</v>
      </c>
      <c r="D2" s="8" t="s">
        <v>59</v>
      </c>
      <c r="E2" s="8" t="s">
        <v>20</v>
      </c>
      <c r="F2" s="8" t="s">
        <v>71</v>
      </c>
      <c r="G2" s="8" t="s">
        <v>234</v>
      </c>
    </row>
    <row r="3" spans="1:7" ht="28.8" x14ac:dyDescent="0.3">
      <c r="A3" s="6" t="s">
        <v>101</v>
      </c>
      <c r="B3" s="6" t="s">
        <v>235</v>
      </c>
      <c r="C3" s="6" t="s">
        <v>236</v>
      </c>
      <c r="D3" s="6" t="s">
        <v>183</v>
      </c>
      <c r="E3" s="6" t="s">
        <v>20</v>
      </c>
      <c r="F3" s="6" t="s">
        <v>75</v>
      </c>
      <c r="G3" s="6" t="s">
        <v>237</v>
      </c>
    </row>
    <row r="4" spans="1:7" ht="28.8" x14ac:dyDescent="0.3">
      <c r="A4" s="6" t="s">
        <v>102</v>
      </c>
      <c r="B4" s="6" t="s">
        <v>238</v>
      </c>
      <c r="C4" s="6" t="s">
        <v>239</v>
      </c>
      <c r="D4" s="6" t="s">
        <v>60</v>
      </c>
      <c r="E4" s="6" t="s">
        <v>20</v>
      </c>
      <c r="F4" s="6" t="s">
        <v>71</v>
      </c>
      <c r="G4" s="6" t="s">
        <v>240</v>
      </c>
    </row>
    <row r="5" spans="1:7" ht="28.8" x14ac:dyDescent="0.3">
      <c r="A5" s="6" t="s">
        <v>102</v>
      </c>
      <c r="B5" s="6" t="s">
        <v>241</v>
      </c>
      <c r="C5" s="6" t="s">
        <v>242</v>
      </c>
      <c r="D5" s="6" t="s">
        <v>61</v>
      </c>
      <c r="E5" s="6" t="s">
        <v>26</v>
      </c>
      <c r="F5" s="6" t="s">
        <v>71</v>
      </c>
      <c r="G5" s="6" t="s">
        <v>243</v>
      </c>
    </row>
    <row r="6" spans="1:7" ht="28.8" x14ac:dyDescent="0.3">
      <c r="A6" s="6" t="s">
        <v>103</v>
      </c>
      <c r="B6" s="6" t="s">
        <v>104</v>
      </c>
      <c r="C6" s="6" t="s">
        <v>244</v>
      </c>
      <c r="D6" s="6" t="s">
        <v>55</v>
      </c>
      <c r="E6" s="6" t="s">
        <v>20</v>
      </c>
      <c r="F6" s="6" t="s">
        <v>71</v>
      </c>
      <c r="G6" s="6" t="s">
        <v>245</v>
      </c>
    </row>
    <row r="7" spans="1:7" ht="43.2" x14ac:dyDescent="0.3">
      <c r="A7" s="21" t="s">
        <v>103</v>
      </c>
      <c r="B7" s="21" t="s">
        <v>246</v>
      </c>
      <c r="C7" s="21" t="s">
        <v>247</v>
      </c>
      <c r="D7" s="21" t="s">
        <v>47</v>
      </c>
      <c r="E7" s="21" t="s">
        <v>20</v>
      </c>
      <c r="F7" s="21" t="s">
        <v>71</v>
      </c>
      <c r="G7" s="21" t="s">
        <v>248</v>
      </c>
    </row>
  </sheetData>
  <dataValidations count="2">
    <dataValidation type="list" allowBlank="1" showInputMessage="1" showErrorMessage="1" sqref="F2:F7" xr:uid="{41694F85-DD0D-4AB8-BD80-97F1F2FC95F9}">
      <formula1>"Open, In Progress, Completed, Deferred"</formula1>
    </dataValidation>
    <dataValidation type="list" allowBlank="1" showInputMessage="1" showErrorMessage="1" sqref="E2:E7" xr:uid="{00663B8D-0E7C-4EAC-94C1-8FF51E3CA464}">
      <formula1>"Low, Medium, High, Critical"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CF7B0-A77B-477B-B693-3CBC2F0B25B1}">
  <dimension ref="A1:G7"/>
  <sheetViews>
    <sheetView workbookViewId="0">
      <pane ySplit="1" topLeftCell="A2" activePane="bottomLeft" state="frozen"/>
      <selection pane="bottomLeft" activeCell="C2" sqref="C2"/>
    </sheetView>
  </sheetViews>
  <sheetFormatPr defaultRowHeight="14.4" x14ac:dyDescent="0.3"/>
  <cols>
    <col min="1" max="1" width="24.109375" customWidth="1"/>
    <col min="2" max="2" width="13" customWidth="1"/>
    <col min="3" max="3" width="18.5546875" customWidth="1"/>
    <col min="4" max="4" width="42.109375" customWidth="1"/>
    <col min="5" max="5" width="16.6640625" customWidth="1"/>
    <col min="6" max="6" width="22.33203125" customWidth="1"/>
    <col min="7" max="7" width="44.109375" customWidth="1"/>
  </cols>
  <sheetData>
    <row r="1" spans="1:7" ht="15" thickBot="1" x14ac:dyDescent="0.35">
      <c r="A1" s="18" t="s">
        <v>85</v>
      </c>
      <c r="B1" s="19" t="s">
        <v>16</v>
      </c>
      <c r="C1" s="19" t="s">
        <v>86</v>
      </c>
      <c r="D1" s="19" t="s">
        <v>87</v>
      </c>
      <c r="E1" s="19" t="s">
        <v>7</v>
      </c>
      <c r="F1" s="19" t="s">
        <v>88</v>
      </c>
      <c r="G1" s="20" t="s">
        <v>83</v>
      </c>
    </row>
    <row r="2" spans="1:7" ht="28.8" x14ac:dyDescent="0.3">
      <c r="A2" s="8" t="s">
        <v>89</v>
      </c>
      <c r="B2" s="8" t="s">
        <v>94</v>
      </c>
      <c r="C2" s="8" t="s">
        <v>22</v>
      </c>
      <c r="D2" s="8" t="s">
        <v>219</v>
      </c>
      <c r="E2" s="8" t="s">
        <v>47</v>
      </c>
      <c r="F2" s="9">
        <v>46157</v>
      </c>
      <c r="G2" s="8" t="s">
        <v>220</v>
      </c>
    </row>
    <row r="3" spans="1:7" ht="28.8" x14ac:dyDescent="0.3">
      <c r="A3" s="6" t="s">
        <v>90</v>
      </c>
      <c r="B3" s="6" t="s">
        <v>75</v>
      </c>
      <c r="C3" s="6" t="s">
        <v>22</v>
      </c>
      <c r="D3" s="6" t="s">
        <v>221</v>
      </c>
      <c r="E3" s="6" t="s">
        <v>59</v>
      </c>
      <c r="F3" s="7">
        <v>46162</v>
      </c>
      <c r="G3" s="6" t="s">
        <v>222</v>
      </c>
    </row>
    <row r="4" spans="1:7" ht="43.2" x14ac:dyDescent="0.3">
      <c r="A4" s="6" t="s">
        <v>91</v>
      </c>
      <c r="B4" s="6" t="s">
        <v>75</v>
      </c>
      <c r="C4" s="6" t="s">
        <v>96</v>
      </c>
      <c r="D4" s="6" t="s">
        <v>223</v>
      </c>
      <c r="E4" s="6" t="s">
        <v>60</v>
      </c>
      <c r="F4" s="7">
        <v>46167</v>
      </c>
      <c r="G4" s="6" t="s">
        <v>224</v>
      </c>
    </row>
    <row r="5" spans="1:7" ht="43.2" x14ac:dyDescent="0.3">
      <c r="A5" s="6" t="s">
        <v>225</v>
      </c>
      <c r="B5" s="6" t="s">
        <v>92</v>
      </c>
      <c r="C5" s="6" t="s">
        <v>96</v>
      </c>
      <c r="D5" s="6" t="s">
        <v>226</v>
      </c>
      <c r="E5" s="6" t="s">
        <v>183</v>
      </c>
      <c r="F5" s="7">
        <v>46164</v>
      </c>
      <c r="G5" s="6" t="s">
        <v>227</v>
      </c>
    </row>
    <row r="6" spans="1:7" ht="28.8" x14ac:dyDescent="0.3">
      <c r="A6" s="21" t="s">
        <v>93</v>
      </c>
      <c r="B6" s="21" t="s">
        <v>94</v>
      </c>
      <c r="C6" s="21" t="s">
        <v>22</v>
      </c>
      <c r="D6" s="21" t="s">
        <v>228</v>
      </c>
      <c r="E6" s="21" t="s">
        <v>61</v>
      </c>
      <c r="F6" s="22">
        <v>46178</v>
      </c>
      <c r="G6" s="21" t="s">
        <v>229</v>
      </c>
    </row>
    <row r="7" spans="1:7" ht="43.2" x14ac:dyDescent="0.3">
      <c r="A7" s="6" t="s">
        <v>95</v>
      </c>
      <c r="B7" s="6" t="s">
        <v>75</v>
      </c>
      <c r="C7" s="6" t="s">
        <v>96</v>
      </c>
      <c r="D7" s="6" t="s">
        <v>230</v>
      </c>
      <c r="E7" s="6" t="s">
        <v>55</v>
      </c>
      <c r="F7" s="7">
        <v>46172</v>
      </c>
      <c r="G7" s="6" t="s">
        <v>231</v>
      </c>
    </row>
  </sheetData>
  <dataValidations count="2">
    <dataValidation type="list" allowBlank="1" showInputMessage="1" showErrorMessage="1" sqref="B2:B7" xr:uid="{47E3EEF6-D48A-4198-9426-34104FAD33DA}">
      <formula1>"Not Ready, Ready, In Progress"</formula1>
    </dataValidation>
    <dataValidation type="list" allowBlank="1" showInputMessage="1" showErrorMessage="1" sqref="C2:C7" xr:uid="{31D5574B-ABB3-4EC5-B45C-8E8EF6A78C75}">
      <formula1>"No, Yes, Partial"</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22DA1-2F25-40AC-9205-E65E2D29E3F1}">
  <dimension ref="A1:E17"/>
  <sheetViews>
    <sheetView workbookViewId="0">
      <selection activeCell="E4" sqref="E4"/>
    </sheetView>
  </sheetViews>
  <sheetFormatPr defaultRowHeight="14.4" x14ac:dyDescent="0.3"/>
  <cols>
    <col min="1" max="1" width="35.77734375" customWidth="1"/>
    <col min="2" max="2" width="51.5546875" customWidth="1"/>
  </cols>
  <sheetData>
    <row r="1" spans="1:5" ht="28.8" customHeight="1" thickBot="1" x14ac:dyDescent="0.35">
      <c r="A1" s="28" t="s">
        <v>109</v>
      </c>
      <c r="B1" s="29"/>
    </row>
    <row r="2" spans="1:5" ht="28.8" customHeight="1" x14ac:dyDescent="0.3">
      <c r="A2" s="30"/>
      <c r="B2" s="31"/>
    </row>
    <row r="3" spans="1:5" x14ac:dyDescent="0.3">
      <c r="A3" s="36" t="s">
        <v>117</v>
      </c>
      <c r="B3" s="37" t="s">
        <v>124</v>
      </c>
      <c r="D3" t="s">
        <v>122</v>
      </c>
    </row>
    <row r="4" spans="1:5" x14ac:dyDescent="0.3">
      <c r="A4" s="38" t="s">
        <v>110</v>
      </c>
      <c r="B4" s="39">
        <f>ROWS(AI_Inventory_List[])</f>
        <v>5</v>
      </c>
      <c r="D4" t="s">
        <v>71</v>
      </c>
      <c r="E4">
        <f>B5</f>
        <v>4</v>
      </c>
    </row>
    <row r="5" spans="1:5" x14ac:dyDescent="0.3">
      <c r="A5" s="40" t="s">
        <v>111</v>
      </c>
      <c r="B5" s="41">
        <f>COUNTIF(Findings_Register[Status],"Open")</f>
        <v>4</v>
      </c>
      <c r="D5" t="s">
        <v>75</v>
      </c>
      <c r="E5">
        <f>B6</f>
        <v>1</v>
      </c>
    </row>
    <row r="6" spans="1:5" x14ac:dyDescent="0.3">
      <c r="A6" s="38" t="s">
        <v>112</v>
      </c>
      <c r="B6" s="39">
        <f>COUNTIF(Findings_Register[Status],"In Progress")</f>
        <v>1</v>
      </c>
      <c r="D6" t="s">
        <v>123</v>
      </c>
      <c r="E6">
        <f>B7</f>
        <v>0</v>
      </c>
    </row>
    <row r="7" spans="1:5" x14ac:dyDescent="0.3">
      <c r="A7" s="40" t="s">
        <v>113</v>
      </c>
      <c r="B7" s="41">
        <f>COUNTIF(Findings_Register[Status],"Closed")</f>
        <v>0</v>
      </c>
    </row>
    <row r="8" spans="1:5" x14ac:dyDescent="0.3">
      <c r="A8" s="38" t="s">
        <v>108</v>
      </c>
      <c r="B8" s="39" t="str">
        <f>'Maturity Scoring'!E8</f>
        <v>Defined</v>
      </c>
    </row>
    <row r="9" spans="1:5" x14ac:dyDescent="0.3">
      <c r="A9" s="40" t="s">
        <v>114</v>
      </c>
      <c r="B9" s="41">
        <f>COUNTIF(Certification_Readiness[Status],"Ready")</f>
        <v>2</v>
      </c>
    </row>
    <row r="10" spans="1:5" x14ac:dyDescent="0.3">
      <c r="A10" s="38" t="s">
        <v>115</v>
      </c>
      <c r="B10" s="39">
        <f>COUNTIF(Certification_Readiness[Status],"In Progress")</f>
        <v>3</v>
      </c>
    </row>
    <row r="11" spans="1:5" ht="15" thickBot="1" x14ac:dyDescent="0.35">
      <c r="A11" s="42" t="s">
        <v>116</v>
      </c>
      <c r="B11" s="43">
        <f>COUNTIF(Certification_Readiness[Status],"Not Ready")</f>
        <v>1</v>
      </c>
    </row>
    <row r="12" spans="1:5" ht="15" thickBot="1" x14ac:dyDescent="0.35">
      <c r="A12" s="34" t="s">
        <v>249</v>
      </c>
      <c r="B12" s="35">
        <f>COUNTIF(_30_60_90_Plan[Status],"Open")</f>
        <v>5</v>
      </c>
    </row>
    <row r="13" spans="1:5" ht="15" thickBot="1" x14ac:dyDescent="0.35">
      <c r="A13" s="44" t="s">
        <v>118</v>
      </c>
      <c r="B13" s="45" t="s">
        <v>126</v>
      </c>
    </row>
    <row r="14" spans="1:5" x14ac:dyDescent="0.3">
      <c r="A14" s="46" t="s">
        <v>125</v>
      </c>
      <c r="B14" s="47"/>
    </row>
    <row r="15" spans="1:5" x14ac:dyDescent="0.3">
      <c r="A15" s="48" t="s">
        <v>119</v>
      </c>
      <c r="B15" s="49" t="str">
        <f>IF(B8="Managed","Program is well established.",IF(B8="Defined","Program is mostly established but still has some gaps.",IF(B8="Developing","Program foundation exists but needs formalization and consistency.","Program is in an early stage and needs major improvement.")))</f>
        <v>Program is mostly established but still has some gaps.</v>
      </c>
    </row>
    <row r="16" spans="1:5" x14ac:dyDescent="0.3">
      <c r="A16" s="50" t="s">
        <v>120</v>
      </c>
      <c r="B16" s="51" t="str">
        <f>IF(B5=0,"No open findings.",IF(B5&lt;=2,"Limited open findings remain.","Several open findings require attention."))</f>
        <v>Several open findings require attention.</v>
      </c>
    </row>
    <row r="17" spans="1:2" ht="15" thickBot="1" x14ac:dyDescent="0.35">
      <c r="A17" s="52" t="s">
        <v>121</v>
      </c>
      <c r="B17" s="53" t="str">
        <f>IF(B11=0,"All certification areas are at least in progress.",IF(B11&lt;=1,"One certification area is not ready.","Multiple certification areas are not ready."))</f>
        <v>One certification area is not ready.</v>
      </c>
    </row>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AI Inventory</vt:lpstr>
      <vt:lpstr>Control Testing</vt:lpstr>
      <vt:lpstr>Maturity Scoring</vt:lpstr>
      <vt:lpstr>Findings Register</vt:lpstr>
      <vt:lpstr>30-60-90 Plan</vt:lpstr>
      <vt:lpstr>Certification Readiness</vt:lpstr>
      <vt:lpstr>Summary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rubin fletcher</dc:creator>
  <cp:lastModifiedBy>rubin fletcher</cp:lastModifiedBy>
  <dcterms:created xsi:type="dcterms:W3CDTF">2026-04-20T03:51:08Z</dcterms:created>
  <dcterms:modified xsi:type="dcterms:W3CDTF">2026-04-21T02:37:07Z</dcterms:modified>
</cp:coreProperties>
</file>